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ka\PycharmProjects\pythonProjectMS\"/>
    </mc:Choice>
  </mc:AlternateContent>
  <bookViews>
    <workbookView xWindow="0" yWindow="0" windowWidth="23040" windowHeight="9192"/>
  </bookViews>
  <sheets>
    <sheet name="Sheet1" sheetId="1" r:id="rId1"/>
  </sheets>
  <externalReferences>
    <externalReference r:id="rId2"/>
    <externalReference r:id="rId3"/>
  </externalReferences>
  <calcPr calcId="162913"/>
</workbook>
</file>

<file path=xl/calcChain.xml><?xml version="1.0" encoding="utf-8"?>
<calcChain xmlns="http://schemas.openxmlformats.org/spreadsheetml/2006/main">
  <c r="AE6" i="1" l="1"/>
  <c r="AF6" i="1"/>
  <c r="Q6" i="1"/>
  <c r="M6" i="1"/>
  <c r="R6" i="1"/>
  <c r="AE34" i="1"/>
  <c r="Q34" i="1"/>
  <c r="AB6" i="1"/>
  <c r="N6" i="1"/>
  <c r="P22" i="1"/>
  <c r="R33" i="1" l="1"/>
  <c r="AC57" i="1"/>
  <c r="AE57" i="1" s="1"/>
  <c r="Z57" i="1" s="1"/>
  <c r="AA57" i="1" s="1"/>
  <c r="AE33" i="1"/>
  <c r="AD57" i="1"/>
  <c r="AB5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D58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57" i="1"/>
  <c r="N76" i="1"/>
  <c r="N75" i="1"/>
  <c r="N74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3" i="1"/>
  <c r="AC33" i="1" s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F33" i="1"/>
  <c r="AD33" i="1"/>
  <c r="P33" i="1"/>
  <c r="S44" i="1"/>
  <c r="S33" i="1"/>
  <c r="L2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33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N73" i="1" s="1"/>
  <c r="Q23" i="1"/>
  <c r="Q24" i="1"/>
  <c r="Q25" i="1"/>
  <c r="Q2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3" i="1"/>
  <c r="P24" i="1"/>
  <c r="P25" i="1"/>
  <c r="P26" i="1"/>
  <c r="P6" i="1"/>
  <c r="O8" i="1"/>
  <c r="O9" i="1" s="1"/>
  <c r="O7" i="1"/>
  <c r="O6" i="1"/>
  <c r="K6" i="1"/>
  <c r="J6" i="1"/>
  <c r="AO1979" i="1"/>
  <c r="AO3" i="1"/>
  <c r="AO4" i="1"/>
  <c r="AO5" i="1"/>
  <c r="AO6" i="1"/>
  <c r="AO7" i="1"/>
  <c r="AO8" i="1"/>
  <c r="AO9" i="1"/>
  <c r="AO10" i="1"/>
  <c r="AL3" i="1" s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" i="1"/>
  <c r="X6" i="1"/>
  <c r="Y6" i="1"/>
  <c r="AC6" i="1" s="1"/>
  <c r="AA6" i="1"/>
  <c r="AK3" i="1" s="1"/>
  <c r="M3" i="1"/>
  <c r="L3" i="1"/>
  <c r="K3" i="1"/>
  <c r="M2" i="1"/>
  <c r="K2" i="1"/>
  <c r="P73" i="1" l="1"/>
  <c r="P74" i="1" s="1"/>
  <c r="P75" i="1" s="1"/>
  <c r="P76" i="1" s="1"/>
  <c r="Q76" i="1" s="1"/>
  <c r="AE58" i="1"/>
  <c r="AD59" i="1"/>
  <c r="AD60" i="1" s="1"/>
  <c r="AE59" i="1"/>
  <c r="Q57" i="1"/>
  <c r="Q61" i="1"/>
  <c r="Q65" i="1"/>
  <c r="Q69" i="1"/>
  <c r="Q58" i="1"/>
  <c r="Q62" i="1"/>
  <c r="Q66" i="1"/>
  <c r="Q70" i="1"/>
  <c r="Q59" i="1"/>
  <c r="Q63" i="1"/>
  <c r="Q67" i="1"/>
  <c r="Q71" i="1"/>
  <c r="Q60" i="1"/>
  <c r="Q64" i="1"/>
  <c r="Q68" i="1"/>
  <c r="Q72" i="1"/>
  <c r="Z33" i="1"/>
  <c r="O10" i="1"/>
  <c r="AC7" i="1"/>
  <c r="AK2" i="1"/>
  <c r="AL2" i="1" s="1"/>
  <c r="Q73" i="1" l="1"/>
  <c r="Q74" i="1"/>
  <c r="Q75" i="1"/>
  <c r="AE60" i="1"/>
  <c r="AD61" i="1"/>
  <c r="O11" i="1"/>
  <c r="AC8" i="1"/>
  <c r="AD7" i="1"/>
  <c r="AE7" i="1" s="1"/>
  <c r="AF7" i="1" s="1"/>
  <c r="AD6" i="1"/>
  <c r="L57" i="1" l="1"/>
  <c r="M57" i="1" s="1"/>
  <c r="AD62" i="1"/>
  <c r="AE61" i="1"/>
  <c r="R7" i="1"/>
  <c r="R34" i="1"/>
  <c r="S34" i="1" s="1"/>
  <c r="O12" i="1"/>
  <c r="AC9" i="1"/>
  <c r="AE62" i="1" l="1"/>
  <c r="AD63" i="1"/>
  <c r="R8" i="1"/>
  <c r="R35" i="1"/>
  <c r="S35" i="1" s="1"/>
  <c r="O13" i="1"/>
  <c r="AC10" i="1"/>
  <c r="AD9" i="1"/>
  <c r="AE9" i="1" s="1"/>
  <c r="AF9" i="1" s="1"/>
  <c r="AD8" i="1"/>
  <c r="AE8" i="1" s="1"/>
  <c r="AF8" i="1" s="1"/>
  <c r="AD64" i="1" l="1"/>
  <c r="AE63" i="1"/>
  <c r="O14" i="1"/>
  <c r="R9" i="1"/>
  <c r="R36" i="1"/>
  <c r="S36" i="1" s="1"/>
  <c r="AC11" i="1"/>
  <c r="AE64" i="1" l="1"/>
  <c r="AD65" i="1"/>
  <c r="O15" i="1"/>
  <c r="AC12" i="1"/>
  <c r="AD11" i="1"/>
  <c r="AE11" i="1" s="1"/>
  <c r="AF11" i="1" s="1"/>
  <c r="AD10" i="1"/>
  <c r="AE10" i="1" s="1"/>
  <c r="AF10" i="1" s="1"/>
  <c r="AD66" i="1" l="1"/>
  <c r="AE65" i="1"/>
  <c r="R10" i="1"/>
  <c r="R37" i="1"/>
  <c r="S37" i="1" s="1"/>
  <c r="R11" i="1"/>
  <c r="R38" i="1"/>
  <c r="S38" i="1" s="1"/>
  <c r="O16" i="1"/>
  <c r="AC13" i="1"/>
  <c r="AD12" i="1"/>
  <c r="AE12" i="1" s="1"/>
  <c r="AF12" i="1" s="1"/>
  <c r="AE66" i="1" l="1"/>
  <c r="AD67" i="1"/>
  <c r="O17" i="1"/>
  <c r="AC14" i="1"/>
  <c r="AD13" i="1"/>
  <c r="AE13" i="1" s="1"/>
  <c r="AF13" i="1" s="1"/>
  <c r="AD68" i="1" l="1"/>
  <c r="AE67" i="1"/>
  <c r="R12" i="1"/>
  <c r="R39" i="1"/>
  <c r="S39" i="1" s="1"/>
  <c r="R13" i="1"/>
  <c r="R40" i="1"/>
  <c r="S40" i="1" s="1"/>
  <c r="O18" i="1"/>
  <c r="AC15" i="1"/>
  <c r="AE68" i="1" l="1"/>
  <c r="AD69" i="1"/>
  <c r="R14" i="1"/>
  <c r="R41" i="1"/>
  <c r="S41" i="1" s="1"/>
  <c r="O19" i="1"/>
  <c r="AC16" i="1"/>
  <c r="AD15" i="1" s="1"/>
  <c r="AE15" i="1" s="1"/>
  <c r="AF15" i="1" s="1"/>
  <c r="AD14" i="1"/>
  <c r="AE14" i="1" s="1"/>
  <c r="AF14" i="1" s="1"/>
  <c r="AD70" i="1" l="1"/>
  <c r="AE69" i="1"/>
  <c r="O20" i="1"/>
  <c r="AD16" i="1"/>
  <c r="AE16" i="1" s="1"/>
  <c r="AF16" i="1" s="1"/>
  <c r="AC17" i="1"/>
  <c r="AE70" i="1" l="1"/>
  <c r="AD71" i="1"/>
  <c r="R15" i="1"/>
  <c r="R42" i="1"/>
  <c r="S42" i="1" s="1"/>
  <c r="O21" i="1"/>
  <c r="AC18" i="1"/>
  <c r="AD17" i="1"/>
  <c r="AE17" i="1" s="1"/>
  <c r="AF17" i="1" s="1"/>
  <c r="AD72" i="1" l="1"/>
  <c r="AE71" i="1"/>
  <c r="R17" i="1"/>
  <c r="R44" i="1"/>
  <c r="O22" i="1"/>
  <c r="R16" i="1"/>
  <c r="R43" i="1"/>
  <c r="S43" i="1" s="1"/>
  <c r="AC19" i="1"/>
  <c r="AD18" i="1"/>
  <c r="AE18" i="1" s="1"/>
  <c r="AF18" i="1" s="1"/>
  <c r="AE72" i="1" l="1"/>
  <c r="AD73" i="1"/>
  <c r="O23" i="1"/>
  <c r="AC20" i="1"/>
  <c r="AD19" i="1" s="1"/>
  <c r="AE19" i="1" s="1"/>
  <c r="AF19" i="1" s="1"/>
  <c r="AD74" i="1" l="1"/>
  <c r="AE73" i="1"/>
  <c r="R18" i="1"/>
  <c r="R45" i="1"/>
  <c r="S45" i="1" s="1"/>
  <c r="R19" i="1"/>
  <c r="R46" i="1"/>
  <c r="S46" i="1" s="1"/>
  <c r="O24" i="1"/>
  <c r="AC21" i="1"/>
  <c r="AD20" i="1"/>
  <c r="AE20" i="1" s="1"/>
  <c r="AF20" i="1" s="1"/>
  <c r="AE74" i="1" l="1"/>
  <c r="AD75" i="1"/>
  <c r="R20" i="1"/>
  <c r="R47" i="1"/>
  <c r="S47" i="1" s="1"/>
  <c r="O25" i="1"/>
  <c r="AC22" i="1"/>
  <c r="AD21" i="1"/>
  <c r="AE21" i="1" s="1"/>
  <c r="AF21" i="1" s="1"/>
  <c r="AD76" i="1" l="1"/>
  <c r="AE76" i="1" s="1"/>
  <c r="AE75" i="1"/>
  <c r="O26" i="1"/>
  <c r="R21" i="1"/>
  <c r="R48" i="1"/>
  <c r="S48" i="1" s="1"/>
  <c r="AC23" i="1"/>
  <c r="R22" i="1" l="1"/>
  <c r="R49" i="1"/>
  <c r="S49" i="1" s="1"/>
  <c r="O33" i="1" s="1"/>
  <c r="L33" i="1" s="1"/>
  <c r="AC24" i="1"/>
  <c r="AD23" i="1"/>
  <c r="AE23" i="1" s="1"/>
  <c r="AF23" i="1" s="1"/>
  <c r="AD22" i="1"/>
  <c r="AE22" i="1" s="1"/>
  <c r="AF22" i="1" s="1"/>
  <c r="AC25" i="1" l="1"/>
  <c r="R23" i="1" l="1"/>
  <c r="R50" i="1"/>
  <c r="S50" i="1" s="1"/>
  <c r="R26" i="1"/>
  <c r="AC26" i="1"/>
  <c r="AD26" i="1" s="1"/>
  <c r="AE26" i="1" s="1"/>
  <c r="AF26" i="1" s="1"/>
  <c r="AD25" i="1"/>
  <c r="AE25" i="1" s="1"/>
  <c r="AF25" i="1" s="1"/>
  <c r="AD24" i="1"/>
  <c r="AE24" i="1" s="1"/>
  <c r="AF24" i="1" s="1"/>
  <c r="R24" i="1" l="1"/>
  <c r="R51" i="1"/>
  <c r="S51" i="1" s="1"/>
  <c r="R25" i="1" l="1"/>
  <c r="R52" i="1"/>
  <c r="S52" i="1" s="1"/>
</calcChain>
</file>

<file path=xl/sharedStrings.xml><?xml version="1.0" encoding="utf-8"?>
<sst xmlns="http://schemas.openxmlformats.org/spreadsheetml/2006/main" count="61" uniqueCount="38">
  <si>
    <t>t1 (Exponential)</t>
  </si>
  <si>
    <t>t2 (Normal, sigma=5, m=25)</t>
  </si>
  <si>
    <t>t3 (Normal, sigma=5, m=30)</t>
  </si>
  <si>
    <t>Показательное распределение 1</t>
  </si>
  <si>
    <t>Max Y</t>
  </si>
  <si>
    <t>Min Y</t>
  </si>
  <si>
    <t>m</t>
  </si>
  <si>
    <t>N</t>
  </si>
  <si>
    <t>delta Y</t>
  </si>
  <si>
    <t>Yi</t>
  </si>
  <si>
    <t>Ni</t>
  </si>
  <si>
    <t>Pi</t>
  </si>
  <si>
    <t>Hi</t>
  </si>
  <si>
    <t>Нормальное распределение 1</t>
  </si>
  <si>
    <t>m (теоретическая)</t>
  </si>
  <si>
    <t>sigma (теоретическая)</t>
  </si>
  <si>
    <t>m (фактическая)</t>
  </si>
  <si>
    <t>sigma (фактичесская)</t>
  </si>
  <si>
    <t>Критерий Пирсона (показательное распределение 1)</t>
  </si>
  <si>
    <t>Значение по таблице</t>
  </si>
  <si>
    <t>χ^2 &lt;= χ^2 (табл)</t>
  </si>
  <si>
    <t>χ^2</t>
  </si>
  <si>
    <t>β</t>
  </si>
  <si>
    <t>Pi (теор)</t>
  </si>
  <si>
    <t>Pi (факт)</t>
  </si>
  <si>
    <t>p =</t>
  </si>
  <si>
    <t>Критерий Пирсона (нормальное распределение 1)</t>
  </si>
  <si>
    <t>p = 0,30</t>
  </si>
  <si>
    <t>Критерий Колмогорова для показательного распределения</t>
  </si>
  <si>
    <t>D</t>
  </si>
  <si>
    <t>Lambda</t>
  </si>
  <si>
    <t>F(теор)</t>
  </si>
  <si>
    <t>F(факт)</t>
  </si>
  <si>
    <t>Модуль разности</t>
  </si>
  <si>
    <t>P(lambda)</t>
  </si>
  <si>
    <t>нашла в табл 1 прилож 2</t>
  </si>
  <si>
    <t>Критерий Колмогорова для нормального распределения</t>
  </si>
  <si>
    <t>табл 1 прилож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</si>
</sst>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8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8" tint="0.79998168889431442"/>
      </left>
      <right/>
      <top/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3" applyNumberFormat="0" applyAlignment="0" applyProtection="0"/>
    <xf numFmtId="0" fontId="5" fillId="3" borderId="2" applyNumberFormat="0" applyAlignment="0" applyProtection="0"/>
    <xf numFmtId="0" fontId="6" fillId="4" borderId="4" applyNumberFormat="0" applyAlignment="0" applyProtection="0"/>
  </cellStyleXfs>
  <cellXfs count="59">
    <xf numFmtId="0" fontId="0" fillId="0" borderId="0" xfId="0"/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 applyFill="1" applyAlignment="1" applyProtection="1">
      <alignment horizontal="center" vertical="center" wrapText="1"/>
    </xf>
    <xf numFmtId="1" fontId="0" fillId="0" borderId="0" xfId="0" applyNumberFormat="1" applyFill="1" applyAlignment="1" applyProtection="1">
      <alignment horizontal="center" vertical="center" wrapText="1"/>
    </xf>
    <xf numFmtId="0" fontId="0" fillId="0" borderId="1" xfId="0" applyNumberFormat="1" applyFill="1" applyBorder="1" applyAlignment="1" applyProtection="1">
      <alignment horizontal="center" vertical="center" wrapText="1"/>
    </xf>
    <xf numFmtId="1" fontId="0" fillId="0" borderId="5" xfId="0" applyNumberFormat="1" applyFill="1" applyBorder="1" applyAlignment="1" applyProtection="1">
      <alignment horizontal="center" vertical="center" wrapText="1"/>
    </xf>
    <xf numFmtId="164" fontId="0" fillId="0" borderId="1" xfId="0" applyNumberFormat="1" applyFill="1" applyBorder="1" applyAlignment="1" applyProtection="1">
      <alignment horizontal="center" vertical="center" wrapText="1"/>
    </xf>
    <xf numFmtId="0" fontId="0" fillId="0" borderId="6" xfId="0" applyNumberFormat="1" applyFill="1" applyBorder="1" applyAlignment="1" applyProtection="1">
      <alignment horizontal="center" vertical="center" wrapText="1"/>
    </xf>
    <xf numFmtId="164" fontId="0" fillId="0" borderId="9" xfId="0" applyNumberFormat="1" applyFill="1" applyBorder="1" applyAlignment="1" applyProtection="1">
      <alignment horizontal="center" vertical="center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0" fillId="0" borderId="5" xfId="0" applyNumberFormat="1" applyFill="1" applyBorder="1" applyAlignment="1" applyProtection="1">
      <alignment horizontal="center" vertical="center" wrapText="1"/>
    </xf>
    <xf numFmtId="0" fontId="0" fillId="0" borderId="7" xfId="0" applyNumberFormat="1" applyFill="1" applyBorder="1" applyAlignment="1" applyProtection="1">
      <alignment horizontal="center" vertical="center" wrapText="1"/>
    </xf>
    <xf numFmtId="0" fontId="0" fillId="0" borderId="8" xfId="0" applyNumberFormat="1" applyFill="1" applyBorder="1" applyAlignment="1" applyProtection="1">
      <alignment horizontal="center" vertical="center" wrapText="1"/>
    </xf>
    <xf numFmtId="0" fontId="0" fillId="0" borderId="0" xfId="0" applyNumberForma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0" fillId="0" borderId="13" xfId="0" applyNumberFormat="1" applyFill="1" applyBorder="1" applyAlignment="1" applyProtection="1">
      <alignment horizontal="center" vertical="center" wrapText="1"/>
    </xf>
    <xf numFmtId="0" fontId="0" fillId="0" borderId="14" xfId="0" applyNumberFormat="1" applyFill="1" applyBorder="1" applyAlignment="1" applyProtection="1">
      <alignment horizontal="center" vertical="center" wrapText="1"/>
    </xf>
    <xf numFmtId="0" fontId="4" fillId="3" borderId="3" xfId="2" applyNumberFormat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13" xfId="0" applyBorder="1"/>
    <xf numFmtId="165" fontId="0" fillId="0" borderId="15" xfId="0" applyNumberFormat="1" applyBorder="1" applyAlignment="1">
      <alignment horizontal="center" vertical="center"/>
    </xf>
    <xf numFmtId="0" fontId="6" fillId="4" borderId="4" xfId="4" applyNumberFormat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>
      <alignment horizontal="center" vertical="center" wrapTex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ill="1" applyBorder="1" applyAlignment="1" applyProtection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5" borderId="1" xfId="1" applyNumberFormat="1" applyFont="1" applyFill="1" applyBorder="1" applyAlignment="1" applyProtection="1">
      <alignment horizontal="center" vertical="center" wrapText="1"/>
    </xf>
    <xf numFmtId="0" fontId="1" fillId="7" borderId="1" xfId="1" applyNumberFormat="1" applyFont="1" applyFill="1" applyBorder="1" applyAlignment="1" applyProtection="1">
      <alignment horizontal="center" vertical="center" wrapText="1"/>
    </xf>
    <xf numFmtId="0" fontId="8" fillId="7" borderId="1" xfId="3" applyNumberFormat="1" applyFont="1" applyFill="1" applyBorder="1" applyAlignment="1" applyProtection="1">
      <alignment horizontal="center" vertical="center" wrapText="1"/>
    </xf>
    <xf numFmtId="0" fontId="1" fillId="6" borderId="1" xfId="1" applyNumberFormat="1" applyFont="1" applyFill="1" applyBorder="1" applyAlignment="1" applyProtection="1">
      <alignment horizontal="center" vertical="center" wrapText="1"/>
    </xf>
    <xf numFmtId="0" fontId="8" fillId="6" borderId="3" xfId="2" applyNumberFormat="1" applyFont="1" applyFill="1" applyAlignment="1" applyProtection="1">
      <alignment horizontal="center" vertical="center" wrapText="1"/>
    </xf>
    <xf numFmtId="0" fontId="0" fillId="0" borderId="19" xfId="0" applyNumberFormat="1" applyFill="1" applyBorder="1" applyAlignment="1" applyProtection="1">
      <alignment horizontal="center" vertical="center" wrapText="1"/>
    </xf>
    <xf numFmtId="164" fontId="0" fillId="0" borderId="5" xfId="0" applyNumberFormat="1" applyFill="1" applyBorder="1" applyAlignment="1" applyProtection="1">
      <alignment horizontal="right" vertical="center"/>
    </xf>
    <xf numFmtId="165" fontId="0" fillId="0" borderId="5" xfId="0" applyNumberFormat="1" applyFill="1" applyBorder="1" applyAlignment="1" applyProtection="1">
      <alignment horizontal="right" vertical="center"/>
    </xf>
    <xf numFmtId="1" fontId="0" fillId="0" borderId="5" xfId="0" applyNumberFormat="1" applyFill="1" applyBorder="1" applyAlignment="1" applyProtection="1">
      <alignment horizontal="right" vertical="center"/>
    </xf>
    <xf numFmtId="164" fontId="0" fillId="0" borderId="1" xfId="0" applyNumberFormat="1" applyFill="1" applyBorder="1" applyAlignment="1" applyProtection="1">
      <alignment horizontal="right" vertical="center"/>
    </xf>
    <xf numFmtId="1" fontId="0" fillId="0" borderId="1" xfId="0" applyNumberFormat="1" applyFill="1" applyBorder="1" applyAlignment="1" applyProtection="1">
      <alignment horizontal="right" vertical="center"/>
    </xf>
    <xf numFmtId="0" fontId="0" fillId="0" borderId="6" xfId="0" applyNumberFormat="1" applyFill="1" applyBorder="1" applyAlignment="1" applyProtection="1">
      <alignment horizontal="right" vertical="center"/>
    </xf>
    <xf numFmtId="165" fontId="0" fillId="0" borderId="7" xfId="0" applyNumberFormat="1" applyFill="1" applyBorder="1" applyAlignment="1" applyProtection="1">
      <alignment horizontal="right" vertical="center"/>
    </xf>
    <xf numFmtId="164" fontId="0" fillId="0" borderId="8" xfId="0" applyNumberFormat="1" applyFill="1" applyBorder="1" applyAlignment="1" applyProtection="1">
      <alignment horizontal="right" vertical="center"/>
    </xf>
    <xf numFmtId="164" fontId="0" fillId="0" borderId="9" xfId="0" applyNumberFormat="1" applyFill="1" applyBorder="1" applyAlignment="1" applyProtection="1">
      <alignment horizontal="right" vertical="center"/>
    </xf>
    <xf numFmtId="0" fontId="0" fillId="0" borderId="10" xfId="0" applyNumberFormat="1" applyFill="1" applyBorder="1" applyAlignment="1" applyProtection="1">
      <alignment horizontal="right" vertical="center"/>
    </xf>
    <xf numFmtId="165" fontId="0" fillId="0" borderId="0" xfId="0" applyNumberFormat="1" applyFill="1" applyBorder="1" applyAlignment="1" applyProtection="1">
      <alignment horizontal="right" vertical="center"/>
    </xf>
    <xf numFmtId="164" fontId="0" fillId="0" borderId="11" xfId="0" applyNumberFormat="1" applyFill="1" applyBorder="1" applyAlignment="1" applyProtection="1">
      <alignment horizontal="right" vertical="center"/>
    </xf>
    <xf numFmtId="164" fontId="0" fillId="0" borderId="18" xfId="0" applyNumberFormat="1" applyFill="1" applyBorder="1" applyAlignment="1" applyProtection="1">
      <alignment horizontal="right" vertical="center"/>
    </xf>
    <xf numFmtId="1" fontId="0" fillId="0" borderId="9" xfId="0" applyNumberFormat="1" applyFill="1" applyBorder="1" applyAlignment="1" applyProtection="1">
      <alignment horizontal="right" vertical="center"/>
    </xf>
    <xf numFmtId="0" fontId="0" fillId="0" borderId="12" xfId="0" applyNumberFormat="1" applyFill="1" applyBorder="1" applyAlignment="1" applyProtection="1">
      <alignment horizontal="right" vertical="center"/>
    </xf>
    <xf numFmtId="165" fontId="0" fillId="0" borderId="13" xfId="0" applyNumberFormat="1" applyFill="1" applyBorder="1" applyAlignment="1" applyProtection="1">
      <alignment horizontal="right" vertical="center"/>
    </xf>
    <xf numFmtId="164" fontId="0" fillId="0" borderId="14" xfId="0" applyNumberFormat="1" applyFill="1" applyBorder="1" applyAlignment="1" applyProtection="1">
      <alignment horizontal="right" vertical="center"/>
    </xf>
  </cellXfs>
  <cellStyles count="5">
    <cellStyle name="Вывод" xfId="2" builtinId="21"/>
    <cellStyle name="Вычисление" xfId="3" builtinId="22"/>
    <cellStyle name="Контрольная ячейка" xfId="4" builtinId="23"/>
    <cellStyle name="Нейтральный" xfId="1" builtinId="2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Показательное распределение 1</a:t>
            </a:r>
          </a:p>
        </c:rich>
      </c:tx>
      <c:layout>
        <c:manualLayout>
          <c:xMode val="edge"/>
          <c:yMode val="edge"/>
          <c:x val="0.27590364479157631"/>
          <c:y val="2.3579636353734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Sheet1!$Q$6:$Q$26</c:f>
              <c:strCache>
                <c:ptCount val="21"/>
                <c:pt idx="0">
                  <c:v>0,31650</c:v>
                </c:pt>
                <c:pt idx="1">
                  <c:v>0,21000</c:v>
                </c:pt>
                <c:pt idx="2">
                  <c:v>0,15200</c:v>
                </c:pt>
                <c:pt idx="3">
                  <c:v>0,10300</c:v>
                </c:pt>
                <c:pt idx="4">
                  <c:v>0,06100</c:v>
                </c:pt>
                <c:pt idx="5">
                  <c:v>0,04450</c:v>
                </c:pt>
                <c:pt idx="6">
                  <c:v>0,04100</c:v>
                </c:pt>
                <c:pt idx="7">
                  <c:v>0,02450</c:v>
                </c:pt>
                <c:pt idx="8">
                  <c:v>0,01700</c:v>
                </c:pt>
                <c:pt idx="9">
                  <c:v>0,01000</c:v>
                </c:pt>
                <c:pt idx="10">
                  <c:v>0,00450</c:v>
                </c:pt>
                <c:pt idx="11">
                  <c:v>0,00200</c:v>
                </c:pt>
                <c:pt idx="12">
                  <c:v>0,00650</c:v>
                </c:pt>
                <c:pt idx="13">
                  <c:v>0,00300</c:v>
                </c:pt>
                <c:pt idx="14">
                  <c:v>0,00150</c:v>
                </c:pt>
                <c:pt idx="15">
                  <c:v>0,00050</c:v>
                </c:pt>
                <c:pt idx="16">
                  <c:v>0,00100</c:v>
                </c:pt>
                <c:pt idx="17">
                  <c:v>0,00000</c:v>
                </c:pt>
                <c:pt idx="18">
                  <c:v>0,00000</c:v>
                </c:pt>
                <c:pt idx="19">
                  <c:v>0,00150</c:v>
                </c:pt>
                <c:pt idx="20">
                  <c:v>0,00000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Sheet1!$O$6:$O$26</c:f>
              <c:numCache>
                <c:formatCode>0.00000</c:formatCode>
                <c:ptCount val="21"/>
                <c:pt idx="0">
                  <c:v>1.3885187520125349E-2</c:v>
                </c:pt>
                <c:pt idx="1">
                  <c:v>3.9289615320042821</c:v>
                </c:pt>
                <c:pt idx="2">
                  <c:v>7.8440378764884393</c:v>
                </c:pt>
                <c:pt idx="3">
                  <c:v>11.759114220972595</c:v>
                </c:pt>
                <c:pt idx="4">
                  <c:v>15.674190565456751</c:v>
                </c:pt>
                <c:pt idx="5">
                  <c:v>19.589266909940907</c:v>
                </c:pt>
                <c:pt idx="6">
                  <c:v>23.504343254425063</c:v>
                </c:pt>
                <c:pt idx="7">
                  <c:v>27.419419598909219</c:v>
                </c:pt>
                <c:pt idx="8">
                  <c:v>31.334495943393375</c:v>
                </c:pt>
                <c:pt idx="9">
                  <c:v>35.249572287877534</c:v>
                </c:pt>
                <c:pt idx="10">
                  <c:v>39.16464863236169</c:v>
                </c:pt>
                <c:pt idx="11">
                  <c:v>43.079724976845846</c:v>
                </c:pt>
                <c:pt idx="12">
                  <c:v>46.994801321330002</c:v>
                </c:pt>
                <c:pt idx="13">
                  <c:v>50.909877665814157</c:v>
                </c:pt>
                <c:pt idx="14">
                  <c:v>54.824954010298313</c:v>
                </c:pt>
                <c:pt idx="15">
                  <c:v>58.740030354782469</c:v>
                </c:pt>
                <c:pt idx="16">
                  <c:v>62.655106699266625</c:v>
                </c:pt>
                <c:pt idx="17">
                  <c:v>66.570183043750788</c:v>
                </c:pt>
                <c:pt idx="18">
                  <c:v>70.485259388234951</c:v>
                </c:pt>
                <c:pt idx="19">
                  <c:v>74.400335732719114</c:v>
                </c:pt>
                <c:pt idx="20">
                  <c:v>78.315412077203277</c:v>
                </c:pt>
              </c:numCache>
            </c:numRef>
          </c:cat>
          <c:val>
            <c:numRef>
              <c:f>Sheet1!$Q$6:$Q$26</c:f>
              <c:numCache>
                <c:formatCode>0.00000</c:formatCode>
                <c:ptCount val="21"/>
                <c:pt idx="0">
                  <c:v>0.3165</c:v>
                </c:pt>
                <c:pt idx="1">
                  <c:v>0.21</c:v>
                </c:pt>
                <c:pt idx="2">
                  <c:v>0.152</c:v>
                </c:pt>
                <c:pt idx="3">
                  <c:v>0.10299999999999999</c:v>
                </c:pt>
                <c:pt idx="4">
                  <c:v>6.0999999999999999E-2</c:v>
                </c:pt>
                <c:pt idx="5">
                  <c:v>4.4499999999999998E-2</c:v>
                </c:pt>
                <c:pt idx="6">
                  <c:v>4.1000000000000002E-2</c:v>
                </c:pt>
                <c:pt idx="7">
                  <c:v>2.4500000000000001E-2</c:v>
                </c:pt>
                <c:pt idx="8">
                  <c:v>1.7000000000000001E-2</c:v>
                </c:pt>
                <c:pt idx="9">
                  <c:v>0.01</c:v>
                </c:pt>
                <c:pt idx="10">
                  <c:v>4.4999999999999997E-3</c:v>
                </c:pt>
                <c:pt idx="11">
                  <c:v>2E-3</c:v>
                </c:pt>
                <c:pt idx="12">
                  <c:v>6.4999999999999997E-3</c:v>
                </c:pt>
                <c:pt idx="13">
                  <c:v>3.0000000000000001E-3</c:v>
                </c:pt>
                <c:pt idx="14">
                  <c:v>1.5E-3</c:v>
                </c:pt>
                <c:pt idx="15">
                  <c:v>5.0000000000000001E-4</c:v>
                </c:pt>
                <c:pt idx="16">
                  <c:v>1E-3</c:v>
                </c:pt>
                <c:pt idx="17">
                  <c:v>0</c:v>
                </c:pt>
                <c:pt idx="18">
                  <c:v>0</c:v>
                </c:pt>
                <c:pt idx="19">
                  <c:v>1.5E-3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9-445D-B992-8EA6F6502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445151"/>
        <c:axId val="1567149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Sheet1!$O$6:$O$26</c15:sqref>
                        </c15:formulaRef>
                      </c:ext>
                    </c:extLst>
                    <c:strCache>
                      <c:ptCount val="21"/>
                      <c:pt idx="0">
                        <c:v>0,01389</c:v>
                      </c:pt>
                      <c:pt idx="1">
                        <c:v>3,92896</c:v>
                      </c:pt>
                      <c:pt idx="2">
                        <c:v>7,84404</c:v>
                      </c:pt>
                      <c:pt idx="3">
                        <c:v>11,75911</c:v>
                      </c:pt>
                      <c:pt idx="4">
                        <c:v>15,67419</c:v>
                      </c:pt>
                      <c:pt idx="5">
                        <c:v>19,58927</c:v>
                      </c:pt>
                      <c:pt idx="6">
                        <c:v>23,50434</c:v>
                      </c:pt>
                      <c:pt idx="7">
                        <c:v>27,41942</c:v>
                      </c:pt>
                      <c:pt idx="8">
                        <c:v>31,33450</c:v>
                      </c:pt>
                      <c:pt idx="9">
                        <c:v>35,24957</c:v>
                      </c:pt>
                      <c:pt idx="10">
                        <c:v>39,16465</c:v>
                      </c:pt>
                      <c:pt idx="11">
                        <c:v>43,07972</c:v>
                      </c:pt>
                      <c:pt idx="12">
                        <c:v>46,99480</c:v>
                      </c:pt>
                      <c:pt idx="13">
                        <c:v>50,90988</c:v>
                      </c:pt>
                      <c:pt idx="14">
                        <c:v>54,82495</c:v>
                      </c:pt>
                      <c:pt idx="15">
                        <c:v>58,74003</c:v>
                      </c:pt>
                      <c:pt idx="16">
                        <c:v>62,65511</c:v>
                      </c:pt>
                      <c:pt idx="17">
                        <c:v>66,57018</c:v>
                      </c:pt>
                      <c:pt idx="18">
                        <c:v>70,48526</c:v>
                      </c:pt>
                      <c:pt idx="19">
                        <c:v>74,40034</c:v>
                      </c:pt>
                      <c:pt idx="20">
                        <c:v>78,31541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Sheet1!$O$6:$O$26</c15:sqref>
                        </c15:formulaRef>
                      </c:ext>
                    </c:extLst>
                    <c:numCache>
                      <c:formatCode>0.00000</c:formatCode>
                      <c:ptCount val="21"/>
                      <c:pt idx="0">
                        <c:v>1.3885187520125349E-2</c:v>
                      </c:pt>
                      <c:pt idx="1">
                        <c:v>3.9289615320042821</c:v>
                      </c:pt>
                      <c:pt idx="2">
                        <c:v>7.8440378764884393</c:v>
                      </c:pt>
                      <c:pt idx="3">
                        <c:v>11.759114220972595</c:v>
                      </c:pt>
                      <c:pt idx="4">
                        <c:v>15.674190565456751</c:v>
                      </c:pt>
                      <c:pt idx="5">
                        <c:v>19.589266909940907</c:v>
                      </c:pt>
                      <c:pt idx="6">
                        <c:v>23.504343254425063</c:v>
                      </c:pt>
                      <c:pt idx="7">
                        <c:v>27.419419598909219</c:v>
                      </c:pt>
                      <c:pt idx="8">
                        <c:v>31.334495943393375</c:v>
                      </c:pt>
                      <c:pt idx="9">
                        <c:v>35.249572287877534</c:v>
                      </c:pt>
                      <c:pt idx="10">
                        <c:v>39.16464863236169</c:v>
                      </c:pt>
                      <c:pt idx="11">
                        <c:v>43.079724976845846</c:v>
                      </c:pt>
                      <c:pt idx="12">
                        <c:v>46.994801321330002</c:v>
                      </c:pt>
                      <c:pt idx="13">
                        <c:v>50.909877665814157</c:v>
                      </c:pt>
                      <c:pt idx="14">
                        <c:v>54.824954010298313</c:v>
                      </c:pt>
                      <c:pt idx="15">
                        <c:v>58.740030354782469</c:v>
                      </c:pt>
                      <c:pt idx="16">
                        <c:v>62.655106699266625</c:v>
                      </c:pt>
                      <c:pt idx="17">
                        <c:v>66.570183043750788</c:v>
                      </c:pt>
                      <c:pt idx="18">
                        <c:v>70.485259388234951</c:v>
                      </c:pt>
                      <c:pt idx="19">
                        <c:v>74.400335732719114</c:v>
                      </c:pt>
                      <c:pt idx="20">
                        <c:v>78.315412077203277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Sheet1!$Q$6:$Q$26</c15:sqref>
                        </c15:formulaRef>
                      </c:ext>
                    </c:extLst>
                    <c:numCache>
                      <c:formatCode>0.00000</c:formatCode>
                      <c:ptCount val="21"/>
                      <c:pt idx="0">
                        <c:v>0.3165</c:v>
                      </c:pt>
                      <c:pt idx="1">
                        <c:v>0.21</c:v>
                      </c:pt>
                      <c:pt idx="2">
                        <c:v>0.152</c:v>
                      </c:pt>
                      <c:pt idx="3">
                        <c:v>0.10299999999999999</c:v>
                      </c:pt>
                      <c:pt idx="4">
                        <c:v>6.0999999999999999E-2</c:v>
                      </c:pt>
                      <c:pt idx="5">
                        <c:v>4.4499999999999998E-2</c:v>
                      </c:pt>
                      <c:pt idx="6">
                        <c:v>4.1000000000000002E-2</c:v>
                      </c:pt>
                      <c:pt idx="7">
                        <c:v>2.4500000000000001E-2</c:v>
                      </c:pt>
                      <c:pt idx="8">
                        <c:v>1.7000000000000001E-2</c:v>
                      </c:pt>
                      <c:pt idx="9">
                        <c:v>0.01</c:v>
                      </c:pt>
                      <c:pt idx="10">
                        <c:v>4.4999999999999997E-3</c:v>
                      </c:pt>
                      <c:pt idx="11">
                        <c:v>2E-3</c:v>
                      </c:pt>
                      <c:pt idx="12">
                        <c:v>6.4999999999999997E-3</c:v>
                      </c:pt>
                      <c:pt idx="13">
                        <c:v>3.0000000000000001E-3</c:v>
                      </c:pt>
                      <c:pt idx="14">
                        <c:v>1.5E-3</c:v>
                      </c:pt>
                      <c:pt idx="15">
                        <c:v>5.0000000000000001E-4</c:v>
                      </c:pt>
                      <c:pt idx="16">
                        <c:v>1E-3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1.5E-3</c:v>
                      </c:pt>
                      <c:pt idx="2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8B9-445D-B992-8EA6F6502F51}"/>
                  </c:ext>
                </c:extLst>
              </c15:ser>
            </c15:filteredBarSeries>
          </c:ext>
        </c:extLst>
      </c:barChart>
      <c:catAx>
        <c:axId val="1666445151"/>
        <c:scaling>
          <c:orientation val="minMax"/>
        </c:scaling>
        <c:delete val="0"/>
        <c:axPos val="b"/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7149151"/>
        <c:crosses val="autoZero"/>
        <c:auto val="1"/>
        <c:lblAlgn val="ctr"/>
        <c:lblOffset val="100"/>
        <c:noMultiLvlLbl val="0"/>
      </c:catAx>
      <c:valAx>
        <c:axId val="156714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6445151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Нормальное распределение 1</a:t>
            </a:r>
          </a:p>
        </c:rich>
      </c:tx>
      <c:layout>
        <c:manualLayout>
          <c:xMode val="edge"/>
          <c:yMode val="edge"/>
          <c:x val="0.27264590049908471"/>
          <c:y val="2.7796294744530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[1]Sheet1!$AC$6:$AC$27</c:f>
              <c:numCache>
                <c:formatCode>General</c:formatCode>
                <c:ptCount val="22"/>
                <c:pt idx="0">
                  <c:v>18.961457045392521</c:v>
                </c:pt>
                <c:pt idx="1">
                  <c:v>20.236169641830401</c:v>
                </c:pt>
                <c:pt idx="2">
                  <c:v>21.51088223826828</c:v>
                </c:pt>
                <c:pt idx="3">
                  <c:v>22.78559483470616</c:v>
                </c:pt>
                <c:pt idx="4">
                  <c:v>24.060307431144039</c:v>
                </c:pt>
                <c:pt idx="5">
                  <c:v>25.335020027581919</c:v>
                </c:pt>
                <c:pt idx="6">
                  <c:v>26.609732624019799</c:v>
                </c:pt>
                <c:pt idx="7">
                  <c:v>27.884445220457678</c:v>
                </c:pt>
                <c:pt idx="8">
                  <c:v>29.159157816895558</c:v>
                </c:pt>
                <c:pt idx="9">
                  <c:v>30.433870413333437</c:v>
                </c:pt>
                <c:pt idx="10">
                  <c:v>31.708583009771317</c:v>
                </c:pt>
                <c:pt idx="11">
                  <c:v>32.983295606209197</c:v>
                </c:pt>
                <c:pt idx="12">
                  <c:v>34.258008202647076</c:v>
                </c:pt>
                <c:pt idx="13">
                  <c:v>35.532720799084956</c:v>
                </c:pt>
                <c:pt idx="14">
                  <c:v>36.807433395522835</c:v>
                </c:pt>
                <c:pt idx="15">
                  <c:v>38.082145991960715</c:v>
                </c:pt>
                <c:pt idx="16">
                  <c:v>39.356858588398595</c:v>
                </c:pt>
                <c:pt idx="17">
                  <c:v>40.631571184836474</c:v>
                </c:pt>
                <c:pt idx="18">
                  <c:v>41.906283781274354</c:v>
                </c:pt>
                <c:pt idx="19">
                  <c:v>43.180996377712233</c:v>
                </c:pt>
                <c:pt idx="20">
                  <c:v>44.455708974150113</c:v>
                </c:pt>
              </c:numCache>
            </c:numRef>
          </c:cat>
          <c:val>
            <c:numRef>
              <c:f>Sheet1!$AF$6:$AF$26</c:f>
              <c:numCache>
                <c:formatCode>General</c:formatCode>
                <c:ptCount val="21"/>
                <c:pt idx="0">
                  <c:v>2.7447282353850513E-4</c:v>
                </c:pt>
                <c:pt idx="1">
                  <c:v>1.3723641176925255E-3</c:v>
                </c:pt>
                <c:pt idx="2">
                  <c:v>2.195782588308041E-3</c:v>
                </c:pt>
                <c:pt idx="3">
                  <c:v>5.7639292943086071E-3</c:v>
                </c:pt>
                <c:pt idx="4">
                  <c:v>1.1527858588617214E-2</c:v>
                </c:pt>
                <c:pt idx="5">
                  <c:v>2.1957825883080408E-2</c:v>
                </c:pt>
                <c:pt idx="6">
                  <c:v>3.9524086589544732E-2</c:v>
                </c:pt>
                <c:pt idx="7">
                  <c:v>5.9560602707855605E-2</c:v>
                </c:pt>
                <c:pt idx="8">
                  <c:v>6.0932966825548135E-2</c:v>
                </c:pt>
                <c:pt idx="9">
                  <c:v>8.0146064473243489E-2</c:v>
                </c:pt>
                <c:pt idx="10">
                  <c:v>7.8499227532012453E-2</c:v>
                </c:pt>
                <c:pt idx="11">
                  <c:v>7.0265042825857313E-2</c:v>
                </c:pt>
                <c:pt idx="12">
                  <c:v>4.7758271295699886E-2</c:v>
                </c:pt>
                <c:pt idx="13">
                  <c:v>2.9368592118620047E-2</c:v>
                </c:pt>
                <c:pt idx="14">
                  <c:v>2.0585461765387881E-2</c:v>
                </c:pt>
                <c:pt idx="15">
                  <c:v>1.0978912941540204E-2</c:v>
                </c:pt>
                <c:pt idx="16">
                  <c:v>5.2149836472315967E-3</c:v>
                </c:pt>
                <c:pt idx="17">
                  <c:v>1.9213097647695358E-3</c:v>
                </c:pt>
                <c:pt idx="18">
                  <c:v>8.2341847061551533E-4</c:v>
                </c:pt>
                <c:pt idx="19">
                  <c:v>2.7447282353850513E-4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4-4AD7-BC00-03C131BE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398911"/>
        <c:axId val="147674334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[1]Sheet1!$AC$6:$AC$27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18.961457045392521</c:v>
                      </c:pt>
                      <c:pt idx="1">
                        <c:v>20.236169641830401</c:v>
                      </c:pt>
                      <c:pt idx="2">
                        <c:v>21.51088223826828</c:v>
                      </c:pt>
                      <c:pt idx="3">
                        <c:v>22.78559483470616</c:v>
                      </c:pt>
                      <c:pt idx="4">
                        <c:v>24.060307431144039</c:v>
                      </c:pt>
                      <c:pt idx="5">
                        <c:v>25.335020027581919</c:v>
                      </c:pt>
                      <c:pt idx="6">
                        <c:v>26.609732624019799</c:v>
                      </c:pt>
                      <c:pt idx="7">
                        <c:v>27.884445220457678</c:v>
                      </c:pt>
                      <c:pt idx="8">
                        <c:v>29.159157816895558</c:v>
                      </c:pt>
                      <c:pt idx="9">
                        <c:v>30.433870413333437</c:v>
                      </c:pt>
                      <c:pt idx="10">
                        <c:v>31.708583009771317</c:v>
                      </c:pt>
                      <c:pt idx="11">
                        <c:v>32.983295606209197</c:v>
                      </c:pt>
                      <c:pt idx="12">
                        <c:v>34.258008202647076</c:v>
                      </c:pt>
                      <c:pt idx="13">
                        <c:v>35.532720799084956</c:v>
                      </c:pt>
                      <c:pt idx="14">
                        <c:v>36.807433395522835</c:v>
                      </c:pt>
                      <c:pt idx="15">
                        <c:v>38.082145991960715</c:v>
                      </c:pt>
                      <c:pt idx="16">
                        <c:v>39.356858588398595</c:v>
                      </c:pt>
                      <c:pt idx="17">
                        <c:v>40.631571184836474</c:v>
                      </c:pt>
                      <c:pt idx="18">
                        <c:v>41.906283781274354</c:v>
                      </c:pt>
                      <c:pt idx="19">
                        <c:v>43.180996377712233</c:v>
                      </c:pt>
                      <c:pt idx="20">
                        <c:v>44.455708974150113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[1]Sheet1!$AF$6:$AF$26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0.1588593386194474</c:v>
                      </c:pt>
                      <c:pt idx="1">
                        <c:v>8.1587018352703849E-2</c:v>
                      </c:pt>
                      <c:pt idx="2">
                        <c:v>6.4328226008862649E-2</c:v>
                      </c:pt>
                      <c:pt idx="3">
                        <c:v>5.8052301520193118E-2</c:v>
                      </c:pt>
                      <c:pt idx="4">
                        <c:v>5.9621282642360503E-2</c:v>
                      </c:pt>
                      <c:pt idx="5">
                        <c:v>0.11139765967388408</c:v>
                      </c:pt>
                      <c:pt idx="6">
                        <c:v>8.9431923963540758E-2</c:v>
                      </c:pt>
                      <c:pt idx="7">
                        <c:v>2.3142471551968878E-2</c:v>
                      </c:pt>
                      <c:pt idx="8">
                        <c:v>1.3336339538422745E-2</c:v>
                      </c:pt>
                      <c:pt idx="9">
                        <c:v>1.5297565941131972E-2</c:v>
                      </c:pt>
                      <c:pt idx="10">
                        <c:v>1.9220018746550428E-2</c:v>
                      </c:pt>
                      <c:pt idx="11">
                        <c:v>2.2357980990885189E-2</c:v>
                      </c:pt>
                      <c:pt idx="12">
                        <c:v>1.8435528185466735E-2</c:v>
                      </c:pt>
                      <c:pt idx="13">
                        <c:v>1.4120830099506433E-2</c:v>
                      </c:pt>
                      <c:pt idx="14">
                        <c:v>1.1767358416255362E-2</c:v>
                      </c:pt>
                      <c:pt idx="15">
                        <c:v>1.2551848977339054E-2</c:v>
                      </c:pt>
                      <c:pt idx="16">
                        <c:v>5.8836792081276811E-3</c:v>
                      </c:pt>
                      <c:pt idx="17">
                        <c:v>3.1379622443347636E-3</c:v>
                      </c:pt>
                      <c:pt idx="18">
                        <c:v>1.1767358416255363E-3</c:v>
                      </c:pt>
                      <c:pt idx="19">
                        <c:v>7.8449056108369089E-4</c:v>
                      </c:pt>
                      <c:pt idx="2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A64-4AD7-BC00-03C131BE3E7E}"/>
                  </c:ext>
                </c:extLst>
              </c15:ser>
            </c15:filteredBarSeries>
          </c:ext>
        </c:extLst>
      </c:barChart>
      <c:catAx>
        <c:axId val="167339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6743343"/>
        <c:crosses val="autoZero"/>
        <c:auto val="1"/>
        <c:lblAlgn val="ctr"/>
        <c:lblOffset val="100"/>
        <c:noMultiLvlLbl val="0"/>
      </c:catAx>
      <c:valAx>
        <c:axId val="147674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33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Критерий Пирсона (показательное распределение 1)</a:t>
            </a:r>
          </a:p>
        </c:rich>
      </c:tx>
      <c:layout>
        <c:manualLayout>
          <c:xMode val="edge"/>
          <c:yMode val="edge"/>
          <c:x val="0.204458223972003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8150481189851271E-2"/>
          <c:y val="0.20784243530014176"/>
          <c:w val="0.87129396325459318"/>
          <c:h val="0.6860747966873497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Sheet1!$Q$33:$Q$52</c:f>
              <c:numCache>
                <c:formatCode>0.000</c:formatCode>
                <c:ptCount val="20"/>
                <c:pt idx="0">
                  <c:v>0.32351359399300772</c:v>
                </c:pt>
                <c:pt idx="1">
                  <c:v>0.21870712373131462</c:v>
                </c:pt>
                <c:pt idx="2">
                  <c:v>0.14785408359643282</c:v>
                </c:pt>
                <c:pt idx="3">
                  <c:v>9.9954814745757181E-2</c:v>
                </c:pt>
                <c:pt idx="4">
                  <c:v>6.7573142031903233E-2</c:v>
                </c:pt>
                <c:pt idx="5">
                  <c:v>4.56819367398964E-2</c:v>
                </c:pt>
                <c:pt idx="6">
                  <c:v>3.0882674411124134E-2</c:v>
                </c:pt>
                <c:pt idx="7">
                  <c:v>2.0877827142353644E-2</c:v>
                </c:pt>
                <c:pt idx="8">
                  <c:v>1.4114181316790209E-2</c:v>
                </c:pt>
                <c:pt idx="9">
                  <c:v>9.541707232507135E-3</c:v>
                </c:pt>
                <c:pt idx="10">
                  <c:v>6.4505460761349331E-3</c:v>
                </c:pt>
                <c:pt idx="11">
                  <c:v>4.3608071036368434E-3</c:v>
                </c:pt>
                <c:pt idx="12">
                  <c:v>2.9480664692072001E-3</c:v>
                </c:pt>
                <c:pt idx="13">
                  <c:v>1.9930016853108024E-3</c:v>
                </c:pt>
                <c:pt idx="14">
                  <c:v>1.3473426597196969E-3</c:v>
                </c:pt>
                <c:pt idx="15">
                  <c:v>9.1085334050644562E-4</c:v>
                </c:pt>
                <c:pt idx="16">
                  <c:v>6.1577045893024263E-4</c:v>
                </c:pt>
                <c:pt idx="17">
                  <c:v>4.1628354558176373E-4</c:v>
                </c:pt>
                <c:pt idx="18">
                  <c:v>2.814230332245371E-4</c:v>
                </c:pt>
                <c:pt idx="19">
                  <c:v>1.902523519602406E-4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C-4855-A266-8D0F5F258FCF}"/>
            </c:ext>
          </c:extLst>
        </c:ser>
        <c:ser>
          <c:idx val="1"/>
          <c:order val="1"/>
          <c:tx>
            <c:strRef>
              <c:f>Sheet1!$R$33:$R$52</c:f>
              <c:strCache>
                <c:ptCount val="20"/>
                <c:pt idx="0">
                  <c:v>0,317</c:v>
                </c:pt>
                <c:pt idx="1">
                  <c:v>0,210</c:v>
                </c:pt>
                <c:pt idx="2">
                  <c:v>0,152</c:v>
                </c:pt>
                <c:pt idx="3">
                  <c:v>0,103</c:v>
                </c:pt>
                <c:pt idx="4">
                  <c:v>0,061</c:v>
                </c:pt>
                <c:pt idx="5">
                  <c:v>0,045</c:v>
                </c:pt>
                <c:pt idx="6">
                  <c:v>0,041</c:v>
                </c:pt>
                <c:pt idx="7">
                  <c:v>0,025</c:v>
                </c:pt>
                <c:pt idx="8">
                  <c:v>0,017</c:v>
                </c:pt>
                <c:pt idx="9">
                  <c:v>0,010</c:v>
                </c:pt>
                <c:pt idx="10">
                  <c:v>0,005</c:v>
                </c:pt>
                <c:pt idx="11">
                  <c:v>0,002</c:v>
                </c:pt>
                <c:pt idx="12">
                  <c:v>0,007</c:v>
                </c:pt>
                <c:pt idx="13">
                  <c:v>0,003</c:v>
                </c:pt>
                <c:pt idx="14">
                  <c:v>0,002</c:v>
                </c:pt>
                <c:pt idx="15">
                  <c:v>0,001</c:v>
                </c:pt>
                <c:pt idx="16">
                  <c:v>0,001</c:v>
                </c:pt>
                <c:pt idx="17">
                  <c:v>0,000</c:v>
                </c:pt>
                <c:pt idx="18">
                  <c:v>0,000</c:v>
                </c:pt>
                <c:pt idx="19">
                  <c:v>0,002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Sheet1!$R$33:$R$52</c:f>
              <c:numCache>
                <c:formatCode>0.000</c:formatCode>
                <c:ptCount val="20"/>
                <c:pt idx="0">
                  <c:v>0.3165</c:v>
                </c:pt>
                <c:pt idx="1">
                  <c:v>0.21</c:v>
                </c:pt>
                <c:pt idx="2">
                  <c:v>0.152</c:v>
                </c:pt>
                <c:pt idx="3">
                  <c:v>0.10299999999999999</c:v>
                </c:pt>
                <c:pt idx="4">
                  <c:v>6.0999999999999999E-2</c:v>
                </c:pt>
                <c:pt idx="5">
                  <c:v>4.4499999999999998E-2</c:v>
                </c:pt>
                <c:pt idx="6">
                  <c:v>4.1000000000000002E-2</c:v>
                </c:pt>
                <c:pt idx="7">
                  <c:v>2.4500000000000001E-2</c:v>
                </c:pt>
                <c:pt idx="8">
                  <c:v>1.7000000000000001E-2</c:v>
                </c:pt>
                <c:pt idx="9">
                  <c:v>0.01</c:v>
                </c:pt>
                <c:pt idx="10">
                  <c:v>4.4999999999999997E-3</c:v>
                </c:pt>
                <c:pt idx="11">
                  <c:v>2E-3</c:v>
                </c:pt>
                <c:pt idx="12">
                  <c:v>6.4999999999999997E-3</c:v>
                </c:pt>
                <c:pt idx="13">
                  <c:v>3.0000000000000001E-3</c:v>
                </c:pt>
                <c:pt idx="14">
                  <c:v>1.5E-3</c:v>
                </c:pt>
                <c:pt idx="15">
                  <c:v>5.0000000000000001E-4</c:v>
                </c:pt>
                <c:pt idx="16">
                  <c:v>1E-3</c:v>
                </c:pt>
                <c:pt idx="17">
                  <c:v>0</c:v>
                </c:pt>
                <c:pt idx="18">
                  <c:v>0</c:v>
                </c:pt>
                <c:pt idx="19">
                  <c:v>1.5E-3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C-4855-A266-8D0F5F25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093199"/>
        <c:axId val="1707473551"/>
      </c:lineChart>
      <c:catAx>
        <c:axId val="1677093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7473551"/>
        <c:crosses val="autoZero"/>
        <c:auto val="1"/>
        <c:lblAlgn val="ctr"/>
        <c:lblOffset val="100"/>
        <c:noMultiLvlLbl val="0"/>
      </c:catAx>
      <c:valAx>
        <c:axId val="170747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709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Критерий Пирсона (нормальное распределение 1)</a:t>
            </a:r>
          </a:p>
        </c:rich>
      </c:tx>
      <c:layout>
        <c:manualLayout>
          <c:xMode val="edge"/>
          <c:yMode val="edge"/>
          <c:x val="0.12384550180254705"/>
          <c:y val="2.1857929767201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Sheet1!$AE$33:$AE$52</c:f>
              <c:strCache>
                <c:ptCount val="20"/>
                <c:pt idx="0">
                  <c:v>0,001</c:v>
                </c:pt>
                <c:pt idx="1">
                  <c:v>0,002</c:v>
                </c:pt>
                <c:pt idx="2">
                  <c:v>0,005</c:v>
                </c:pt>
                <c:pt idx="3">
                  <c:v>0,011</c:v>
                </c:pt>
                <c:pt idx="4">
                  <c:v>0,024</c:v>
                </c:pt>
                <c:pt idx="5">
                  <c:v>0,045</c:v>
                </c:pt>
                <c:pt idx="6">
                  <c:v>0,073</c:v>
                </c:pt>
                <c:pt idx="7">
                  <c:v>0,104</c:v>
                </c:pt>
                <c:pt idx="8">
                  <c:v>0,131</c:v>
                </c:pt>
                <c:pt idx="9">
                  <c:v>0,144</c:v>
                </c:pt>
                <c:pt idx="10">
                  <c:v>0,139</c:v>
                </c:pt>
                <c:pt idx="11">
                  <c:v>0,118</c:v>
                </c:pt>
                <c:pt idx="12">
                  <c:v>0,087</c:v>
                </c:pt>
                <c:pt idx="13">
                  <c:v>0,057</c:v>
                </c:pt>
                <c:pt idx="14">
                  <c:v>0,032</c:v>
                </c:pt>
                <c:pt idx="15">
                  <c:v>0,016</c:v>
                </c:pt>
                <c:pt idx="16">
                  <c:v>0,007</c:v>
                </c:pt>
                <c:pt idx="17">
                  <c:v>0,003</c:v>
                </c:pt>
                <c:pt idx="18">
                  <c:v>0,001</c:v>
                </c:pt>
                <c:pt idx="19">
                  <c:v>0,000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Sheet1!$AE$33:$AE$52</c:f>
              <c:numCache>
                <c:formatCode>0.000</c:formatCode>
                <c:ptCount val="20"/>
                <c:pt idx="0">
                  <c:v>5.4244608584141669E-4</c:v>
                </c:pt>
                <c:pt idx="1">
                  <c:v>1.7054997188523796E-3</c:v>
                </c:pt>
                <c:pt idx="2">
                  <c:v>4.7021612163990721E-3</c:v>
                </c:pt>
                <c:pt idx="3">
                  <c:v>1.1368470991428566E-2</c:v>
                </c:pt>
                <c:pt idx="4">
                  <c:v>2.4103065690366379E-2</c:v>
                </c:pt>
                <c:pt idx="5">
                  <c:v>4.4814056612827842E-2</c:v>
                </c:pt>
                <c:pt idx="6">
                  <c:v>7.3068982019311224E-2</c:v>
                </c:pt>
                <c:pt idx="7">
                  <c:v>0.10447989524581949</c:v>
                </c:pt>
                <c:pt idx="8">
                  <c:v>0.13101356407120157</c:v>
                </c:pt>
                <c:pt idx="9">
                  <c:v>0.144073981440622</c:v>
                </c:pt>
                <c:pt idx="10">
                  <c:v>0.13894451915048012</c:v>
                </c:pt>
                <c:pt idx="11">
                  <c:v>0.11751235825837858</c:v>
                </c:pt>
                <c:pt idx="12">
                  <c:v>8.7158653427388266E-2</c:v>
                </c:pt>
                <c:pt idx="13">
                  <c:v>5.6691745092770973E-2</c:v>
                </c:pt>
                <c:pt idx="14">
                  <c:v>3.2337609011827362E-2</c:v>
                </c:pt>
                <c:pt idx="15">
                  <c:v>1.6175962482325557E-2</c:v>
                </c:pt>
                <c:pt idx="16">
                  <c:v>7.0957919567607997E-3</c:v>
                </c:pt>
                <c:pt idx="17">
                  <c:v>2.7295656552982495E-3</c:v>
                </c:pt>
                <c:pt idx="18">
                  <c:v>9.2074770428862696E-4</c:v>
                </c:pt>
                <c:pt idx="19">
                  <c:v>2.7235403851666451E-4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2-43CD-9CDE-7BF790FB2694}"/>
            </c:ext>
          </c:extLst>
        </c:ser>
        <c:ser>
          <c:idx val="1"/>
          <c:order val="1"/>
          <c:tx>
            <c:strRef>
              <c:f>Sheet1!$AF$33:$AF$52</c:f>
              <c:strCache>
                <c:ptCount val="20"/>
                <c:pt idx="0">
                  <c:v>0,001</c:v>
                </c:pt>
                <c:pt idx="1">
                  <c:v>0,003</c:v>
                </c:pt>
                <c:pt idx="2">
                  <c:v>0,004</c:v>
                </c:pt>
                <c:pt idx="3">
                  <c:v>0,011</c:v>
                </c:pt>
                <c:pt idx="4">
                  <c:v>0,021</c:v>
                </c:pt>
                <c:pt idx="5">
                  <c:v>0,040</c:v>
                </c:pt>
                <c:pt idx="6">
                  <c:v>0,072</c:v>
                </c:pt>
                <c:pt idx="7">
                  <c:v>0,109</c:v>
                </c:pt>
                <c:pt idx="8">
                  <c:v>0,111</c:v>
                </c:pt>
                <c:pt idx="9">
                  <c:v>0,146</c:v>
                </c:pt>
                <c:pt idx="10">
                  <c:v>0,143</c:v>
                </c:pt>
                <c:pt idx="11">
                  <c:v>0,128</c:v>
                </c:pt>
                <c:pt idx="12">
                  <c:v>0,087</c:v>
                </c:pt>
                <c:pt idx="13">
                  <c:v>0,054</c:v>
                </c:pt>
                <c:pt idx="14">
                  <c:v>0,038</c:v>
                </c:pt>
                <c:pt idx="15">
                  <c:v>0,020</c:v>
                </c:pt>
                <c:pt idx="16">
                  <c:v>0,010</c:v>
                </c:pt>
                <c:pt idx="17">
                  <c:v>0,004</c:v>
                </c:pt>
                <c:pt idx="18">
                  <c:v>0,002</c:v>
                </c:pt>
                <c:pt idx="19">
                  <c:v>0,001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Sheet1!$AF$33:$AF$52</c:f>
              <c:numCache>
                <c:formatCode>0.000</c:formatCode>
                <c:ptCount val="20"/>
                <c:pt idx="0">
                  <c:v>5.0000000000000001E-4</c:v>
                </c:pt>
                <c:pt idx="1">
                  <c:v>2.5000000000000001E-3</c:v>
                </c:pt>
                <c:pt idx="2">
                  <c:v>4.0000000000000001E-3</c:v>
                </c:pt>
                <c:pt idx="3">
                  <c:v>1.0500000000000001E-2</c:v>
                </c:pt>
                <c:pt idx="4">
                  <c:v>2.1000000000000001E-2</c:v>
                </c:pt>
                <c:pt idx="5">
                  <c:v>0.04</c:v>
                </c:pt>
                <c:pt idx="6">
                  <c:v>7.1999999999999995E-2</c:v>
                </c:pt>
                <c:pt idx="7">
                  <c:v>0.1085</c:v>
                </c:pt>
                <c:pt idx="8">
                  <c:v>0.111</c:v>
                </c:pt>
                <c:pt idx="9">
                  <c:v>0.14599999999999999</c:v>
                </c:pt>
                <c:pt idx="10">
                  <c:v>0.14299999999999999</c:v>
                </c:pt>
                <c:pt idx="11">
                  <c:v>0.128</c:v>
                </c:pt>
                <c:pt idx="12">
                  <c:v>8.6999999999999994E-2</c:v>
                </c:pt>
                <c:pt idx="13">
                  <c:v>5.3499999999999999E-2</c:v>
                </c:pt>
                <c:pt idx="14">
                  <c:v>3.7499999999999999E-2</c:v>
                </c:pt>
                <c:pt idx="15">
                  <c:v>0.02</c:v>
                </c:pt>
                <c:pt idx="16">
                  <c:v>9.4999999999999998E-3</c:v>
                </c:pt>
                <c:pt idx="17">
                  <c:v>3.5000000000000001E-3</c:v>
                </c:pt>
                <c:pt idx="18">
                  <c:v>1.5E-3</c:v>
                </c:pt>
                <c:pt idx="19">
                  <c:v>5.0000000000000001E-4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82-43CD-9CDE-7BF790FB2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628815"/>
        <c:axId val="1707473967"/>
      </c:lineChart>
      <c:catAx>
        <c:axId val="1764628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7473967"/>
        <c:crosses val="autoZero"/>
        <c:auto val="1"/>
        <c:lblAlgn val="ctr"/>
        <c:lblOffset val="100"/>
        <c:noMultiLvlLbl val="0"/>
      </c:catAx>
      <c:valAx>
        <c:axId val="17074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62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Критерий Колмогорова для показательного распределения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[2]Sheet1!$O$57:$O$76</c:f>
              <c:numCache>
                <c:formatCode>General</c:formatCode>
                <c:ptCount val="20"/>
                <c:pt idx="0">
                  <c:v>0.36419457521273535</c:v>
                </c:pt>
                <c:pt idx="1">
                  <c:v>0.59555848759493435</c:v>
                </c:pt>
                <c:pt idx="2">
                  <c:v>0.74273113978033911</c:v>
                </c:pt>
                <c:pt idx="3">
                  <c:v>0.83634897900284288</c:v>
                </c:pt>
                <c:pt idx="4">
                  <c:v>0.89590012312199263</c:v>
                </c:pt>
                <c:pt idx="5">
                  <c:v>0.9337811380583777</c:v>
                </c:pt>
                <c:pt idx="6">
                  <c:v>0.95787759017253915</c:v>
                </c:pt>
                <c:pt idx="7">
                  <c:v>0.97320555869358238</c:v>
                </c:pt>
                <c:pt idx="8">
                  <c:v>0.98295581644393459</c:v>
                </c:pt>
                <c:pt idx="9">
                  <c:v>0.9891580425293931</c:v>
                </c:pt>
                <c:pt idx="10">
                  <c:v>0.99310333396681727</c:v>
                </c:pt>
                <c:pt idx="11">
                  <c:v>0.9956129691061596</c:v>
                </c:pt>
                <c:pt idx="12">
                  <c:v>0.99720937044494984</c:v>
                </c:pt>
                <c:pt idx="13">
                  <c:v>0.99822485560234975</c:v>
                </c:pt>
                <c:pt idx="14">
                  <c:v>0.99887081478557171</c:v>
                </c:pt>
                <c:pt idx="15">
                  <c:v>0.99928171519445341</c:v>
                </c:pt>
                <c:pt idx="16">
                  <c:v>0.99954309261643992</c:v>
                </c:pt>
                <c:pt idx="17">
                  <c:v>0.99970935713029196</c:v>
                </c:pt>
                <c:pt idx="18">
                  <c:v>0.99981511947332979</c:v>
                </c:pt>
                <c:pt idx="19">
                  <c:v>0.99988239584485183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7-43BF-98D6-9B00EE1670F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Sheet1!$P$57:$P$76</c:f>
              <c:numCache>
                <c:formatCode>General</c:formatCode>
                <c:ptCount val="20"/>
                <c:pt idx="0">
                  <c:v>0.3165</c:v>
                </c:pt>
                <c:pt idx="1">
                  <c:v>0.52649999999999997</c:v>
                </c:pt>
                <c:pt idx="2">
                  <c:v>0.67849999999999999</c:v>
                </c:pt>
                <c:pt idx="3">
                  <c:v>0.78149999999999997</c:v>
                </c:pt>
                <c:pt idx="4">
                  <c:v>0.84250000000000003</c:v>
                </c:pt>
                <c:pt idx="5">
                  <c:v>0.88700000000000001</c:v>
                </c:pt>
                <c:pt idx="6">
                  <c:v>0.92800000000000005</c:v>
                </c:pt>
                <c:pt idx="7">
                  <c:v>0.95250000000000001</c:v>
                </c:pt>
                <c:pt idx="8">
                  <c:v>0.96950000000000003</c:v>
                </c:pt>
                <c:pt idx="9">
                  <c:v>0.97950000000000004</c:v>
                </c:pt>
                <c:pt idx="10">
                  <c:v>0.98399999999999999</c:v>
                </c:pt>
                <c:pt idx="11">
                  <c:v>0.98599999999999999</c:v>
                </c:pt>
                <c:pt idx="12">
                  <c:v>0.99249999999999994</c:v>
                </c:pt>
                <c:pt idx="13">
                  <c:v>0.99549999999999994</c:v>
                </c:pt>
                <c:pt idx="14">
                  <c:v>0.99699999999999989</c:v>
                </c:pt>
                <c:pt idx="15">
                  <c:v>0.99749999999999983</c:v>
                </c:pt>
                <c:pt idx="16">
                  <c:v>0.99849999999999983</c:v>
                </c:pt>
                <c:pt idx="17">
                  <c:v>0.99849999999999983</c:v>
                </c:pt>
                <c:pt idx="18">
                  <c:v>0.99849999999999983</c:v>
                </c:pt>
                <c:pt idx="19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7-43BF-98D6-9B00EE167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09792"/>
        <c:axId val="19979808"/>
      </c:lineChart>
      <c:catAx>
        <c:axId val="125209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79808"/>
        <c:crosses val="autoZero"/>
        <c:auto val="1"/>
        <c:lblAlgn val="ctr"/>
        <c:lblOffset val="100"/>
        <c:noMultiLvlLbl val="0"/>
      </c:catAx>
      <c:valAx>
        <c:axId val="199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20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Критерий Колмогорова для нормального распределения</a:t>
            </a:r>
          </a:p>
        </c:rich>
      </c:tx>
      <c:layout>
        <c:manualLayout>
          <c:xMode val="edge"/>
          <c:yMode val="edge"/>
          <c:x val="0.19275077890619383"/>
          <c:y val="3.038759393150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Sheet1!$AC$57:$AC$76</c:f>
              <c:numCache>
                <c:formatCode>General</c:formatCode>
                <c:ptCount val="20"/>
                <c:pt idx="0">
                  <c:v>1.9799827629009845E-4</c:v>
                </c:pt>
                <c:pt idx="1">
                  <c:v>2.4459440809838947E-3</c:v>
                </c:pt>
                <c:pt idx="2">
                  <c:v>7.1481052973829673E-3</c:v>
                </c:pt>
                <c:pt idx="3">
                  <c:v>1.8516576288811534E-2</c:v>
                </c:pt>
                <c:pt idx="4">
                  <c:v>4.2619641979177912E-2</c:v>
                </c:pt>
                <c:pt idx="5">
                  <c:v>8.7433698592005754E-2</c:v>
                </c:pt>
                <c:pt idx="6">
                  <c:v>0.16050268061131698</c:v>
                </c:pt>
                <c:pt idx="7">
                  <c:v>0.26498257585713647</c:v>
                </c:pt>
                <c:pt idx="8">
                  <c:v>0.39599613992833804</c:v>
                </c:pt>
                <c:pt idx="9">
                  <c:v>0.54007012136896004</c:v>
                </c:pt>
                <c:pt idx="10">
                  <c:v>0.67901464051944016</c:v>
                </c:pt>
                <c:pt idx="11">
                  <c:v>0.79652699877781874</c:v>
                </c:pt>
                <c:pt idx="12">
                  <c:v>0.88368565220520701</c:v>
                </c:pt>
                <c:pt idx="13">
                  <c:v>0.94037739729797798</c:v>
                </c:pt>
                <c:pt idx="14">
                  <c:v>0.97271500630980534</c:v>
                </c:pt>
                <c:pt idx="15">
                  <c:v>0.9888909687921309</c:v>
                </c:pt>
                <c:pt idx="16">
                  <c:v>0.9959867607488917</c:v>
                </c:pt>
                <c:pt idx="17">
                  <c:v>0.99871632640418995</c:v>
                </c:pt>
                <c:pt idx="18">
                  <c:v>0.99963707410847857</c:v>
                </c:pt>
                <c:pt idx="19">
                  <c:v>0.99990942814699524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F-4C3C-9396-F1DA2123E61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Sheet1!$AD$57:$AD$76</c:f>
              <c:numCache>
                <c:formatCode>General</c:formatCode>
                <c:ptCount val="20"/>
                <c:pt idx="0">
                  <c:v>5.0000000000000001E-4</c:v>
                </c:pt>
                <c:pt idx="1">
                  <c:v>3.0000000000000001E-3</c:v>
                </c:pt>
                <c:pt idx="2">
                  <c:v>7.0000000000000001E-3</c:v>
                </c:pt>
                <c:pt idx="3">
                  <c:v>1.7500000000000002E-2</c:v>
                </c:pt>
                <c:pt idx="4">
                  <c:v>3.8500000000000006E-2</c:v>
                </c:pt>
                <c:pt idx="5">
                  <c:v>7.8500000000000014E-2</c:v>
                </c:pt>
                <c:pt idx="6">
                  <c:v>0.15050000000000002</c:v>
                </c:pt>
                <c:pt idx="7">
                  <c:v>0.25900000000000001</c:v>
                </c:pt>
                <c:pt idx="8">
                  <c:v>0.37</c:v>
                </c:pt>
                <c:pt idx="9">
                  <c:v>0.51600000000000001</c:v>
                </c:pt>
                <c:pt idx="10">
                  <c:v>0.65900000000000003</c:v>
                </c:pt>
                <c:pt idx="11">
                  <c:v>0.78700000000000003</c:v>
                </c:pt>
                <c:pt idx="12">
                  <c:v>0.874</c:v>
                </c:pt>
                <c:pt idx="13">
                  <c:v>0.92749999999999999</c:v>
                </c:pt>
                <c:pt idx="14">
                  <c:v>0.96499999999999997</c:v>
                </c:pt>
                <c:pt idx="15">
                  <c:v>0.98499999999999999</c:v>
                </c:pt>
                <c:pt idx="16">
                  <c:v>0.99449999999999994</c:v>
                </c:pt>
                <c:pt idx="17">
                  <c:v>0.99799999999999989</c:v>
                </c:pt>
                <c:pt idx="18">
                  <c:v>0.99949999999999983</c:v>
                </c:pt>
                <c:pt idx="19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FF-4C3C-9396-F1DA2123E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645856"/>
        <c:axId val="211537072"/>
      </c:lineChart>
      <c:catAx>
        <c:axId val="220645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37072"/>
        <c:crosses val="autoZero"/>
        <c:auto val="1"/>
        <c:lblAlgn val="ctr"/>
        <c:lblOffset val="100"/>
        <c:noMultiLvlLbl val="0"/>
      </c:catAx>
      <c:valAx>
        <c:axId val="21153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064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78387</xdr:colOff>
      <xdr:row>7</xdr:row>
      <xdr:rowOff>63196</xdr:rowOff>
    </xdr:from>
    <xdr:to>
      <xdr:col>13</xdr:col>
      <xdr:colOff>725456</xdr:colOff>
      <xdr:row>24</xdr:row>
      <xdr:rowOff>113114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F83841-6DE4-45BA-B2CF-93F80CB5D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425823</xdr:colOff>
      <xdr:row>7</xdr:row>
      <xdr:rowOff>89647</xdr:rowOff>
    </xdr:from>
    <xdr:to>
      <xdr:col>27</xdr:col>
      <xdr:colOff>817578</xdr:colOff>
      <xdr:row>25</xdr:row>
      <xdr:rowOff>60621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3ABA12A-8F2C-43BC-9C70-07C70FC4E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228600</xdr:colOff>
      <xdr:row>33</xdr:row>
      <xdr:rowOff>19050</xdr:rowOff>
    </xdr:from>
    <xdr:to>
      <xdr:col>15</xdr:col>
      <xdr:colOff>333375</xdr:colOff>
      <xdr:row>51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E9BAC75-6D32-434F-9AD0-9AB57D977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161925</xdr:colOff>
      <xdr:row>33</xdr:row>
      <xdr:rowOff>57150</xdr:rowOff>
    </xdr:from>
    <xdr:to>
      <xdr:col>29</xdr:col>
      <xdr:colOff>590550</xdr:colOff>
      <xdr:row>51</xdr:row>
      <xdr:rowOff>114299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A69E9CE-C9E4-4409-A824-0A5EBEB76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212480</xdr:colOff>
      <xdr:row>59</xdr:row>
      <xdr:rowOff>53485</xdr:rowOff>
    </xdr:from>
    <xdr:to>
      <xdr:col>12</xdr:col>
      <xdr:colOff>751009</xdr:colOff>
      <xdr:row>73</xdr:row>
      <xdr:rowOff>129685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D4E37A8-E328-419C-826C-F84402EFA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230605</xdr:colOff>
      <xdr:row>60</xdr:row>
      <xdr:rowOff>30079</xdr:rowOff>
    </xdr:from>
    <xdr:to>
      <xdr:col>26</xdr:col>
      <xdr:colOff>679857</xdr:colOff>
      <xdr:row>76</xdr:row>
      <xdr:rowOff>68036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F432419-A344-47D5-A4D8-E1761EE94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ndom_distribu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23%23Profile\Downloads\9576_v_9576__9569__9572_B_9572_V_9576__9557__9572_A_9576__9563__9576__9619__9576__9617__9576__9564__9576__9557__9576__9569_2lab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6">
          <cell r="O6">
            <v>3.3262556849973828E-3</v>
          </cell>
          <cell r="AC6">
            <v>18.961457045392521</v>
          </cell>
          <cell r="AF6">
            <v>0.1588593386194474</v>
          </cell>
        </row>
        <row r="7">
          <cell r="AC7">
            <v>20.236169641830401</v>
          </cell>
          <cell r="AF7">
            <v>8.1587018352703849E-2</v>
          </cell>
        </row>
        <row r="8">
          <cell r="AC8">
            <v>21.51088223826828</v>
          </cell>
          <cell r="AF8">
            <v>6.4328226008862649E-2</v>
          </cell>
        </row>
        <row r="9">
          <cell r="AC9">
            <v>22.78559483470616</v>
          </cell>
          <cell r="AF9">
            <v>5.8052301520193118E-2</v>
          </cell>
        </row>
        <row r="10">
          <cell r="AC10">
            <v>24.060307431144039</v>
          </cell>
          <cell r="AF10">
            <v>5.9621282642360503E-2</v>
          </cell>
        </row>
        <row r="11">
          <cell r="AC11">
            <v>25.335020027581919</v>
          </cell>
          <cell r="AF11">
            <v>0.11139765967388408</v>
          </cell>
        </row>
        <row r="12">
          <cell r="AC12">
            <v>26.609732624019799</v>
          </cell>
          <cell r="AF12">
            <v>8.9431923963540758E-2</v>
          </cell>
        </row>
        <row r="13">
          <cell r="AC13">
            <v>27.884445220457678</v>
          </cell>
          <cell r="AF13">
            <v>2.3142471551968878E-2</v>
          </cell>
        </row>
        <row r="14">
          <cell r="AC14">
            <v>29.159157816895558</v>
          </cell>
          <cell r="AF14">
            <v>1.3336339538422745E-2</v>
          </cell>
        </row>
        <row r="15">
          <cell r="AC15">
            <v>30.433870413333437</v>
          </cell>
          <cell r="AF15">
            <v>1.5297565941131972E-2</v>
          </cell>
        </row>
        <row r="16">
          <cell r="AC16">
            <v>31.708583009771317</v>
          </cell>
          <cell r="AF16">
            <v>1.9220018746550428E-2</v>
          </cell>
        </row>
        <row r="17">
          <cell r="AC17">
            <v>32.983295606209197</v>
          </cell>
          <cell r="AF17">
            <v>2.2357980990885189E-2</v>
          </cell>
        </row>
        <row r="18">
          <cell r="AC18">
            <v>34.258008202647076</v>
          </cell>
          <cell r="AF18">
            <v>1.8435528185466735E-2</v>
          </cell>
        </row>
        <row r="19">
          <cell r="AC19">
            <v>35.532720799084956</v>
          </cell>
          <cell r="AF19">
            <v>1.4120830099506433E-2</v>
          </cell>
        </row>
        <row r="20">
          <cell r="AC20">
            <v>36.807433395522835</v>
          </cell>
          <cell r="AF20">
            <v>1.1767358416255362E-2</v>
          </cell>
        </row>
        <row r="21">
          <cell r="AC21">
            <v>38.082145991960715</v>
          </cell>
          <cell r="AF21">
            <v>1.2551848977339054E-2</v>
          </cell>
        </row>
        <row r="22">
          <cell r="AC22">
            <v>39.356858588398595</v>
          </cell>
          <cell r="AF22">
            <v>5.8836792081276811E-3</v>
          </cell>
        </row>
        <row r="23">
          <cell r="AC23">
            <v>40.631571184836474</v>
          </cell>
          <cell r="AF23">
            <v>3.1379622443347636E-3</v>
          </cell>
        </row>
        <row r="24">
          <cell r="AC24">
            <v>41.906283781274354</v>
          </cell>
          <cell r="AF24">
            <v>1.1767358416255363E-3</v>
          </cell>
        </row>
        <row r="25">
          <cell r="AC25">
            <v>43.180996377712233</v>
          </cell>
          <cell r="AF25">
            <v>7.8449056108369089E-4</v>
          </cell>
        </row>
        <row r="26">
          <cell r="AC26">
            <v>44.455708974150113</v>
          </cell>
          <cell r="AF2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3">
          <cell r="Q33">
            <v>0.36371743770277976</v>
          </cell>
        </row>
        <row r="57">
          <cell r="O57">
            <v>0.36419457521273535</v>
          </cell>
        </row>
        <row r="58">
          <cell r="O58">
            <v>0.59555848759493435</v>
          </cell>
        </row>
        <row r="59">
          <cell r="O59">
            <v>0.74273113978033911</v>
          </cell>
        </row>
        <row r="60">
          <cell r="O60">
            <v>0.83634897900284288</v>
          </cell>
        </row>
        <row r="61">
          <cell r="O61">
            <v>0.89590012312199263</v>
          </cell>
        </row>
        <row r="62">
          <cell r="O62">
            <v>0.9337811380583777</v>
          </cell>
        </row>
        <row r="63">
          <cell r="O63">
            <v>0.95787759017253915</v>
          </cell>
        </row>
        <row r="64">
          <cell r="O64">
            <v>0.97320555869358238</v>
          </cell>
        </row>
        <row r="65">
          <cell r="O65">
            <v>0.98295581644393459</v>
          </cell>
        </row>
        <row r="66">
          <cell r="O66">
            <v>0.9891580425293931</v>
          </cell>
        </row>
        <row r="67">
          <cell r="O67">
            <v>0.99310333396681727</v>
          </cell>
        </row>
        <row r="68">
          <cell r="O68">
            <v>0.9956129691061596</v>
          </cell>
        </row>
        <row r="69">
          <cell r="O69">
            <v>0.99720937044494984</v>
          </cell>
        </row>
        <row r="70">
          <cell r="O70">
            <v>0.99822485560234975</v>
          </cell>
        </row>
        <row r="71">
          <cell r="O71">
            <v>0.99887081478557171</v>
          </cell>
        </row>
        <row r="72">
          <cell r="O72">
            <v>0.99928171519445341</v>
          </cell>
        </row>
        <row r="73">
          <cell r="O73">
            <v>0.99954309261643992</v>
          </cell>
        </row>
        <row r="74">
          <cell r="O74">
            <v>0.99970935713029196</v>
          </cell>
        </row>
        <row r="75">
          <cell r="O75">
            <v>0.99981511947332979</v>
          </cell>
        </row>
        <row r="76">
          <cell r="O76">
            <v>0.99988239584485183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01"/>
  <sheetViews>
    <sheetView tabSelected="1" topLeftCell="C1" zoomScale="58" zoomScaleNormal="58" workbookViewId="0">
      <selection activeCell="AE7" sqref="AE7"/>
    </sheetView>
  </sheetViews>
  <sheetFormatPr defaultRowHeight="14.4" x14ac:dyDescent="0.3"/>
  <cols>
    <col min="1" max="1" width="16.44140625" style="2" customWidth="1"/>
    <col min="2" max="2" width="25.88671875" style="2" customWidth="1"/>
    <col min="3" max="3" width="25.21875" style="2" customWidth="1"/>
    <col min="10" max="10" width="12.6640625" customWidth="1"/>
    <col min="11" max="11" width="10" customWidth="1"/>
    <col min="12" max="12" width="10.77734375" bestFit="1" customWidth="1"/>
    <col min="13" max="13" width="11.77734375" bestFit="1" customWidth="1"/>
    <col min="14" max="14" width="9" bestFit="1" customWidth="1"/>
    <col min="15" max="15" width="11.77734375" bestFit="1" customWidth="1"/>
    <col min="16" max="18" width="9" bestFit="1" customWidth="1"/>
    <col min="19" max="19" width="12.21875" bestFit="1" customWidth="1"/>
    <col min="24" max="25" width="9" bestFit="1" customWidth="1"/>
    <col min="26" max="26" width="10.77734375" bestFit="1" customWidth="1"/>
    <col min="27" max="27" width="11.77734375" bestFit="1" customWidth="1"/>
    <col min="28" max="28" width="12.6640625" bestFit="1" customWidth="1"/>
    <col min="29" max="29" width="11.77734375" bestFit="1" customWidth="1"/>
    <col min="30" max="31" width="9" bestFit="1" customWidth="1"/>
    <col min="32" max="32" width="12.6640625" bestFit="1" customWidth="1"/>
    <col min="33" max="33" width="11.33203125" bestFit="1" customWidth="1"/>
    <col min="37" max="37" width="12.6640625" bestFit="1" customWidth="1"/>
    <col min="40" max="40" width="12.33203125" style="3" bestFit="1" customWidth="1"/>
    <col min="41" max="41" width="11.5546875" style="3" bestFit="1" customWidth="1"/>
  </cols>
  <sheetData>
    <row r="1" spans="1:41" ht="43.2" x14ac:dyDescent="0.3">
      <c r="A1" s="1" t="s">
        <v>0</v>
      </c>
      <c r="B1" s="1" t="s">
        <v>1</v>
      </c>
      <c r="C1" s="1" t="s">
        <v>2</v>
      </c>
      <c r="J1" s="3"/>
      <c r="K1" s="3">
        <v>1</v>
      </c>
      <c r="L1" s="3">
        <v>2</v>
      </c>
      <c r="M1" s="3">
        <v>3</v>
      </c>
      <c r="N1" s="3">
        <v>4</v>
      </c>
      <c r="O1" s="3">
        <v>5</v>
      </c>
      <c r="P1" s="3">
        <v>6</v>
      </c>
      <c r="Q1" s="3">
        <v>7</v>
      </c>
      <c r="R1" s="3">
        <v>8</v>
      </c>
      <c r="AI1" s="19" t="s">
        <v>14</v>
      </c>
      <c r="AJ1" s="19" t="s">
        <v>15</v>
      </c>
      <c r="AK1" s="19" t="s">
        <v>16</v>
      </c>
      <c r="AL1" s="19" t="s">
        <v>17</v>
      </c>
    </row>
    <row r="2" spans="1:41" x14ac:dyDescent="0.3">
      <c r="A2" s="2">
        <v>21.706722509923189</v>
      </c>
      <c r="B2" s="2">
        <v>30.097831470390521</v>
      </c>
      <c r="C2" s="2">
        <v>27.291513049329371</v>
      </c>
      <c r="J2" s="3"/>
      <c r="K2" s="4">
        <f>MAX(A$2:A$2001)</f>
        <v>78.315412077203263</v>
      </c>
      <c r="L2" s="4">
        <f>MAX(B$2:B$2001)</f>
        <v>43.719791663797608</v>
      </c>
      <c r="M2" s="4">
        <f t="shared" ref="M2" si="0">MAX(C$2:C$2001)</f>
        <v>46.862620502548218</v>
      </c>
      <c r="N2" s="3"/>
      <c r="O2" s="3"/>
      <c r="P2" s="41"/>
      <c r="Q2" s="3"/>
      <c r="R2" s="3"/>
      <c r="AI2" s="5">
        <v>25</v>
      </c>
      <c r="AJ2" s="5">
        <v>5</v>
      </c>
      <c r="AK2" s="5">
        <f>(1/$AA$6)*SUM($B$2:$B$2001)</f>
        <v>25.272154891459468</v>
      </c>
      <c r="AL2" s="5">
        <f>SQRT(SUM($AN$2:$AN$2001)/($AA$6-1))</f>
        <v>5.0630682751502034</v>
      </c>
      <c r="AN2" s="3">
        <f>(B2-$AK$2)^2</f>
        <v>23.287154444443701</v>
      </c>
      <c r="AO2" s="3">
        <f>(C2-$AK$3)^2</f>
        <v>7.3215430010822899</v>
      </c>
    </row>
    <row r="3" spans="1:41" x14ac:dyDescent="0.3">
      <c r="A3" s="2">
        <v>8.8885977646948184</v>
      </c>
      <c r="B3" s="2">
        <v>27.593420736766362</v>
      </c>
      <c r="C3" s="2">
        <v>25.021480470603581</v>
      </c>
      <c r="J3" s="3"/>
      <c r="K3" s="4">
        <f>MIN(A$2:A$2001)</f>
        <v>1.3885187520125349E-2</v>
      </c>
      <c r="L3" s="4">
        <f t="shared" ref="L3:M3" si="1">MIN(B$2:B$2001)</f>
        <v>7.2863121262610839</v>
      </c>
      <c r="M3" s="4">
        <f t="shared" si="1"/>
        <v>12.257657407845629</v>
      </c>
      <c r="N3" s="3"/>
      <c r="O3" s="3"/>
      <c r="P3" s="3"/>
      <c r="Q3" s="3"/>
      <c r="R3" s="3"/>
      <c r="AI3" s="5">
        <v>30</v>
      </c>
      <c r="AJ3" s="5">
        <v>5</v>
      </c>
      <c r="AK3" s="5">
        <f>(1/$AA$6)*SUM($C$2:$C$2001)</f>
        <v>29.997348040802851</v>
      </c>
      <c r="AL3" s="5">
        <f>SQRT(SUM($AO$2:$AO$2001)/($AA$6-1))</f>
        <v>5.067348658558565</v>
      </c>
      <c r="AN3" s="3">
        <f t="shared" ref="AN3:AN66" si="2">(B3-$AK$2)^2</f>
        <v>5.3882751245883256</v>
      </c>
      <c r="AO3" s="3">
        <f t="shared" ref="AO3:AO66" si="3">(C3-$AK$3)^2</f>
        <v>24.759258076160787</v>
      </c>
    </row>
    <row r="4" spans="1:41" ht="14.4" customHeight="1" x14ac:dyDescent="0.3">
      <c r="A4" s="2">
        <v>2.6183677520363502</v>
      </c>
      <c r="B4" s="2">
        <v>18.91427685684393</v>
      </c>
      <c r="C4" s="2">
        <v>26.202841009243979</v>
      </c>
      <c r="J4" s="36" t="s">
        <v>3</v>
      </c>
      <c r="K4" s="36"/>
      <c r="L4" s="36"/>
      <c r="M4" s="36"/>
      <c r="N4" s="36"/>
      <c r="O4" s="36"/>
      <c r="P4" s="36"/>
      <c r="Q4" s="36"/>
      <c r="R4" s="36"/>
      <c r="X4" s="36" t="s">
        <v>13</v>
      </c>
      <c r="Y4" s="36"/>
      <c r="Z4" s="36"/>
      <c r="AA4" s="36"/>
      <c r="AB4" s="36"/>
      <c r="AC4" s="36"/>
      <c r="AD4" s="36"/>
      <c r="AE4" s="36"/>
      <c r="AF4" s="36"/>
      <c r="AI4" s="15"/>
      <c r="AJ4" s="15"/>
      <c r="AK4" s="15"/>
      <c r="AL4" s="15"/>
      <c r="AN4" s="3">
        <f t="shared" si="2"/>
        <v>40.422613103046743</v>
      </c>
      <c r="AO4" s="3">
        <f t="shared" si="3"/>
        <v>14.398283612549724</v>
      </c>
    </row>
    <row r="5" spans="1:41" x14ac:dyDescent="0.3">
      <c r="A5" s="2">
        <v>3.304997070087508</v>
      </c>
      <c r="B5" s="2">
        <v>18.125183683273139</v>
      </c>
      <c r="C5" s="2">
        <v>22.23054526684869</v>
      </c>
      <c r="J5" s="5" t="s">
        <v>4</v>
      </c>
      <c r="K5" s="5" t="s">
        <v>5</v>
      </c>
      <c r="L5" s="5" t="s">
        <v>6</v>
      </c>
      <c r="M5" s="5" t="s">
        <v>7</v>
      </c>
      <c r="N5" s="5" t="s">
        <v>8</v>
      </c>
      <c r="O5" s="5" t="s">
        <v>9</v>
      </c>
      <c r="P5" s="5" t="s">
        <v>10</v>
      </c>
      <c r="Q5" s="5" t="s">
        <v>11</v>
      </c>
      <c r="R5" s="5" t="s">
        <v>12</v>
      </c>
      <c r="X5" s="5" t="s">
        <v>4</v>
      </c>
      <c r="Y5" s="5" t="s">
        <v>5</v>
      </c>
      <c r="Z5" s="5" t="s">
        <v>6</v>
      </c>
      <c r="AA5" s="5" t="s">
        <v>7</v>
      </c>
      <c r="AB5" s="5" t="s">
        <v>8</v>
      </c>
      <c r="AC5" s="5" t="s">
        <v>9</v>
      </c>
      <c r="AD5" s="5" t="s">
        <v>10</v>
      </c>
      <c r="AE5" s="5" t="s">
        <v>11</v>
      </c>
      <c r="AF5" s="5" t="s">
        <v>12</v>
      </c>
      <c r="AI5" s="15"/>
      <c r="AJ5" s="15"/>
      <c r="AK5" s="15"/>
      <c r="AL5" s="15"/>
      <c r="AN5" s="3">
        <f t="shared" si="2"/>
        <v>51.079197450644358</v>
      </c>
      <c r="AO5" s="3">
        <f t="shared" si="3"/>
        <v>60.323225329502058</v>
      </c>
    </row>
    <row r="6" spans="1:41" x14ac:dyDescent="0.3">
      <c r="A6" s="2">
        <v>9.9541180661169921</v>
      </c>
      <c r="B6" s="2">
        <v>31.606696244933531</v>
      </c>
      <c r="C6" s="2">
        <v>26.307671889714459</v>
      </c>
      <c r="J6" s="42">
        <f>MAX(A$2:A$2001)</f>
        <v>78.315412077203263</v>
      </c>
      <c r="K6" s="42">
        <f>MIN(A$2:A$2001)</f>
        <v>1.3885187520125349E-2</v>
      </c>
      <c r="L6" s="43">
        <v>20</v>
      </c>
      <c r="M6" s="44">
        <f>L6*10^2</f>
        <v>2000</v>
      </c>
      <c r="N6" s="42">
        <f>(J6-K6)/L6</f>
        <v>3.9150763444841568</v>
      </c>
      <c r="O6" s="45">
        <f>K6</f>
        <v>1.3885187520125349E-2</v>
      </c>
      <c r="P6" s="46">
        <f>COUNTIFS($A$2:$A$2001, "&gt;="&amp;O6,$A$2:$A$2001,"&lt;="&amp;O7)</f>
        <v>633</v>
      </c>
      <c r="Q6" s="45">
        <f>P6/$M$6</f>
        <v>0.3165</v>
      </c>
      <c r="R6" s="45">
        <f>Q6/$N$6</f>
        <v>8.0841335430382633E-2</v>
      </c>
      <c r="X6" s="6">
        <f>MAX(B$2:B$2001)</f>
        <v>43.719791663797608</v>
      </c>
      <c r="Y6" s="6">
        <f>MIN(B$2:B$2001)</f>
        <v>7.2863121262610839</v>
      </c>
      <c r="Z6" s="12">
        <v>20</v>
      </c>
      <c r="AA6" s="12">
        <f>Z6*10^2</f>
        <v>2000</v>
      </c>
      <c r="AB6" s="12">
        <f>(X6-Y6)/Z6</f>
        <v>1.8216739768768264</v>
      </c>
      <c r="AC6" s="7">
        <f>Y6</f>
        <v>7.2863121262610839</v>
      </c>
      <c r="AD6" s="5">
        <f>COUNTIFS($B$2:$B$3001, "&gt;="&amp;AC6,$B$2:$B$3001,"&lt;="&amp;AC7)</f>
        <v>1</v>
      </c>
      <c r="AE6" s="5">
        <f>AD6/$AA$6</f>
        <v>5.0000000000000001E-4</v>
      </c>
      <c r="AF6" s="5">
        <f>AE6/$AB$6</f>
        <v>2.7447282353850513E-4</v>
      </c>
      <c r="AN6" s="3">
        <f t="shared" si="2"/>
        <v>40.126414158873004</v>
      </c>
      <c r="AO6" s="3">
        <f t="shared" si="3"/>
        <v>13.613710099910451</v>
      </c>
    </row>
    <row r="7" spans="1:41" x14ac:dyDescent="0.3">
      <c r="A7" s="2">
        <v>2.8945534960440931</v>
      </c>
      <c r="B7" s="2">
        <v>35.29894205171594</v>
      </c>
      <c r="C7" s="2">
        <v>31.34827694835182</v>
      </c>
      <c r="J7" s="47"/>
      <c r="K7" s="48"/>
      <c r="L7" s="48"/>
      <c r="M7" s="48"/>
      <c r="N7" s="49"/>
      <c r="O7" s="50">
        <f>O6+$N$6</f>
        <v>3.9289615320042821</v>
      </c>
      <c r="P7" s="46">
        <f t="shared" ref="P7:P26" si="4">COUNTIFS($A$2:$A$2001, "&gt;="&amp;O7,$A$2:$A$2001,"&lt;="&amp;O8)</f>
        <v>420</v>
      </c>
      <c r="Q7" s="45">
        <f t="shared" ref="Q7:Q26" si="5">P7/$M$6</f>
        <v>0.21</v>
      </c>
      <c r="R7" s="45">
        <f t="shared" ref="R7:R26" si="6">Q7/$N$6</f>
        <v>5.3638800759495585E-2</v>
      </c>
      <c r="X7" s="8"/>
      <c r="Y7" s="13"/>
      <c r="Z7" s="13"/>
      <c r="AA7" s="13"/>
      <c r="AB7" s="14"/>
      <c r="AC7" s="9">
        <f>AC6+$AB$6</f>
        <v>9.107986103137911</v>
      </c>
      <c r="AD7" s="5">
        <f t="shared" ref="AD7:AD26" si="7">COUNTIFS($B$2:$B$3001, "&gt;="&amp;AC7,$B$2:$B$3001,"&lt;="&amp;AC8)</f>
        <v>5</v>
      </c>
      <c r="AE7" s="5">
        <f t="shared" ref="AE7:AE26" si="8">AD7/$AA$6</f>
        <v>2.5000000000000001E-3</v>
      </c>
      <c r="AF7" s="5">
        <f t="shared" ref="AF7:AF26" si="9">AE7/$AB$6</f>
        <v>1.3723641176925255E-3</v>
      </c>
      <c r="AN7" s="3">
        <f t="shared" si="2"/>
        <v>100.53646075708404</v>
      </c>
      <c r="AO7" s="3">
        <f t="shared" si="3"/>
        <v>1.8250089132514509</v>
      </c>
    </row>
    <row r="8" spans="1:41" x14ac:dyDescent="0.3">
      <c r="A8" s="2">
        <v>8.1359411097292682</v>
      </c>
      <c r="B8" s="2">
        <v>23.99585252565015</v>
      </c>
      <c r="C8" s="2">
        <v>34.658761064398632</v>
      </c>
      <c r="J8" s="51"/>
      <c r="K8" s="52"/>
      <c r="L8" s="52"/>
      <c r="M8" s="52"/>
      <c r="N8" s="53"/>
      <c r="O8" s="50">
        <f t="shared" ref="O8:O26" si="10">O7+$N$6</f>
        <v>7.8440378764884393</v>
      </c>
      <c r="P8" s="46">
        <f t="shared" si="4"/>
        <v>304</v>
      </c>
      <c r="Q8" s="45">
        <f t="shared" si="5"/>
        <v>0.152</v>
      </c>
      <c r="R8" s="45">
        <f t="shared" si="6"/>
        <v>3.8824274835444428E-2</v>
      </c>
      <c r="X8" s="10"/>
      <c r="Y8" s="15"/>
      <c r="Z8" s="15"/>
      <c r="AA8" s="15"/>
      <c r="AB8" s="16"/>
      <c r="AC8" s="9">
        <f t="shared" ref="AC8:AC26" si="11">AC7+$AB$6</f>
        <v>10.929660080014738</v>
      </c>
      <c r="AD8" s="5">
        <f t="shared" si="7"/>
        <v>8</v>
      </c>
      <c r="AE8" s="5">
        <f t="shared" si="8"/>
        <v>4.0000000000000001E-3</v>
      </c>
      <c r="AF8" s="5">
        <f t="shared" si="9"/>
        <v>2.195782588308041E-3</v>
      </c>
      <c r="AN8" s="3">
        <f t="shared" si="2"/>
        <v>1.6289477289704628</v>
      </c>
      <c r="AO8" s="3">
        <f t="shared" si="3"/>
        <v>21.728771376548359</v>
      </c>
    </row>
    <row r="9" spans="1:41" x14ac:dyDescent="0.3">
      <c r="A9" s="2">
        <v>4.8336484828645574</v>
      </c>
      <c r="B9" s="2">
        <v>24.877091369171179</v>
      </c>
      <c r="C9" s="2">
        <v>31.69971981711436</v>
      </c>
      <c r="J9" s="51"/>
      <c r="K9" s="52"/>
      <c r="L9" s="52"/>
      <c r="M9" s="52"/>
      <c r="N9" s="53"/>
      <c r="O9" s="50">
        <f t="shared" si="10"/>
        <v>11.759114220972595</v>
      </c>
      <c r="P9" s="46">
        <f t="shared" si="4"/>
        <v>206</v>
      </c>
      <c r="Q9" s="45">
        <f t="shared" si="5"/>
        <v>0.10299999999999999</v>
      </c>
      <c r="R9" s="45">
        <f t="shared" si="6"/>
        <v>2.6308554658228789E-2</v>
      </c>
      <c r="X9" s="10"/>
      <c r="Y9" s="15"/>
      <c r="Z9" s="15"/>
      <c r="AA9" s="15"/>
      <c r="AB9" s="16"/>
      <c r="AC9" s="9">
        <f t="shared" si="11"/>
        <v>12.751334056891565</v>
      </c>
      <c r="AD9" s="5">
        <f t="shared" si="7"/>
        <v>21</v>
      </c>
      <c r="AE9" s="5">
        <f t="shared" si="8"/>
        <v>1.0500000000000001E-2</v>
      </c>
      <c r="AF9" s="5">
        <f t="shared" si="9"/>
        <v>5.7639292943086071E-3</v>
      </c>
      <c r="AN9" s="3">
        <f t="shared" si="2"/>
        <v>0.15607518664282977</v>
      </c>
      <c r="AO9" s="3">
        <f t="shared" si="3"/>
        <v>2.8980696647820015</v>
      </c>
    </row>
    <row r="10" spans="1:41" x14ac:dyDescent="0.3">
      <c r="A10" s="2">
        <v>20.68180773164373</v>
      </c>
      <c r="B10" s="2">
        <v>20.465952986414479</v>
      </c>
      <c r="C10" s="2">
        <v>24.324700621331619</v>
      </c>
      <c r="J10" s="51"/>
      <c r="K10" s="52"/>
      <c r="L10" s="52"/>
      <c r="M10" s="52"/>
      <c r="N10" s="53"/>
      <c r="O10" s="50">
        <f t="shared" si="10"/>
        <v>15.674190565456751</v>
      </c>
      <c r="P10" s="46">
        <f t="shared" si="4"/>
        <v>122</v>
      </c>
      <c r="Q10" s="45">
        <f t="shared" si="5"/>
        <v>6.0999999999999999E-2</v>
      </c>
      <c r="R10" s="45">
        <f t="shared" si="6"/>
        <v>1.5580794506329671E-2</v>
      </c>
      <c r="X10" s="10"/>
      <c r="Y10" s="15"/>
      <c r="Z10" s="15"/>
      <c r="AA10" s="15"/>
      <c r="AB10" s="16"/>
      <c r="AC10" s="9">
        <f t="shared" si="11"/>
        <v>14.573008033768392</v>
      </c>
      <c r="AD10" s="5">
        <f t="shared" si="7"/>
        <v>42</v>
      </c>
      <c r="AE10" s="5">
        <f t="shared" si="8"/>
        <v>2.1000000000000001E-2</v>
      </c>
      <c r="AF10" s="5">
        <f t="shared" si="9"/>
        <v>1.1527858588617214E-2</v>
      </c>
      <c r="AN10" s="3">
        <f t="shared" si="2"/>
        <v>23.099576752058088</v>
      </c>
      <c r="AO10" s="3">
        <f t="shared" si="3"/>
        <v>32.178928745633634</v>
      </c>
    </row>
    <row r="11" spans="1:41" x14ac:dyDescent="0.3">
      <c r="A11" s="2">
        <v>11.48946678768087</v>
      </c>
      <c r="B11" s="2">
        <v>27.496404756085919</v>
      </c>
      <c r="C11" s="2">
        <v>29.912075367395229</v>
      </c>
      <c r="J11" s="51"/>
      <c r="K11" s="52"/>
      <c r="L11" s="52"/>
      <c r="M11" s="52"/>
      <c r="N11" s="53"/>
      <c r="O11" s="50">
        <f t="shared" si="10"/>
        <v>19.589266909940907</v>
      </c>
      <c r="P11" s="46">
        <f t="shared" si="4"/>
        <v>89</v>
      </c>
      <c r="Q11" s="45">
        <f t="shared" si="5"/>
        <v>4.4499999999999998E-2</v>
      </c>
      <c r="R11" s="45">
        <f t="shared" si="6"/>
        <v>1.1366317303797875E-2</v>
      </c>
      <c r="X11" s="10"/>
      <c r="Y11" s="15"/>
      <c r="Z11" s="15"/>
      <c r="AA11" s="15"/>
      <c r="AB11" s="16"/>
      <c r="AC11" s="9">
        <f t="shared" si="11"/>
        <v>16.394682010645219</v>
      </c>
      <c r="AD11" s="5">
        <f>COUNTIFS($B$2:$B$3001, "&gt;="&amp;AC11,$B$2:$B$3001,"&lt;="&amp;AC12)</f>
        <v>80</v>
      </c>
      <c r="AE11" s="5">
        <f t="shared" si="8"/>
        <v>0.04</v>
      </c>
      <c r="AF11" s="5">
        <f t="shared" si="9"/>
        <v>2.1957825883080408E-2</v>
      </c>
      <c r="AN11" s="3">
        <f t="shared" si="2"/>
        <v>4.9472874602907844</v>
      </c>
      <c r="AO11" s="3">
        <f t="shared" si="3"/>
        <v>7.2714288300830985E-3</v>
      </c>
    </row>
    <row r="12" spans="1:41" x14ac:dyDescent="0.3">
      <c r="A12" s="2">
        <v>7.9098383949340576</v>
      </c>
      <c r="B12" s="2">
        <v>25.92142313818232</v>
      </c>
      <c r="C12" s="2">
        <v>34.123644899791387</v>
      </c>
      <c r="J12" s="51"/>
      <c r="K12" s="52"/>
      <c r="L12" s="52"/>
      <c r="M12" s="52"/>
      <c r="N12" s="53"/>
      <c r="O12" s="50">
        <f t="shared" si="10"/>
        <v>23.504343254425063</v>
      </c>
      <c r="P12" s="46">
        <f t="shared" si="4"/>
        <v>82</v>
      </c>
      <c r="Q12" s="45">
        <f t="shared" si="5"/>
        <v>4.1000000000000002E-2</v>
      </c>
      <c r="R12" s="45">
        <f t="shared" si="6"/>
        <v>1.0472337291139616E-2</v>
      </c>
      <c r="X12" s="10"/>
      <c r="Y12" s="15"/>
      <c r="Z12" s="15"/>
      <c r="AA12" s="15"/>
      <c r="AB12" s="16"/>
      <c r="AC12" s="9">
        <f t="shared" si="11"/>
        <v>18.216355987522046</v>
      </c>
      <c r="AD12" s="5">
        <f t="shared" si="7"/>
        <v>144</v>
      </c>
      <c r="AE12" s="5">
        <f t="shared" si="8"/>
        <v>7.1999999999999995E-2</v>
      </c>
      <c r="AF12" s="5">
        <f t="shared" si="9"/>
        <v>3.9524086589544732E-2</v>
      </c>
      <c r="AN12" s="3">
        <f t="shared" si="2"/>
        <v>0.42154925620256523</v>
      </c>
      <c r="AO12" s="3">
        <f t="shared" si="3"/>
        <v>17.026325768498651</v>
      </c>
    </row>
    <row r="13" spans="1:41" x14ac:dyDescent="0.3">
      <c r="A13" s="2">
        <v>5.1500842452258713</v>
      </c>
      <c r="B13" s="2">
        <v>24.356436655247379</v>
      </c>
      <c r="C13" s="2">
        <v>28.938898596371079</v>
      </c>
      <c r="J13" s="51"/>
      <c r="K13" s="52"/>
      <c r="L13" s="52"/>
      <c r="M13" s="52"/>
      <c r="N13" s="53"/>
      <c r="O13" s="50">
        <f t="shared" si="10"/>
        <v>27.419419598909219</v>
      </c>
      <c r="P13" s="46">
        <f t="shared" si="4"/>
        <v>49</v>
      </c>
      <c r="Q13" s="45">
        <f t="shared" si="5"/>
        <v>2.4500000000000001E-2</v>
      </c>
      <c r="R13" s="45">
        <f t="shared" si="6"/>
        <v>6.2578600886078186E-3</v>
      </c>
      <c r="X13" s="10"/>
      <c r="Y13" s="15"/>
      <c r="Z13" s="15"/>
      <c r="AA13" s="15"/>
      <c r="AB13" s="16"/>
      <c r="AC13" s="9">
        <f t="shared" si="11"/>
        <v>20.038029964398874</v>
      </c>
      <c r="AD13" s="5">
        <f t="shared" si="7"/>
        <v>217</v>
      </c>
      <c r="AE13" s="5">
        <f t="shared" si="8"/>
        <v>0.1085</v>
      </c>
      <c r="AF13" s="5">
        <f t="shared" si="9"/>
        <v>5.9560602707855605E-2</v>
      </c>
      <c r="AN13" s="3">
        <f t="shared" si="2"/>
        <v>0.83853988813138092</v>
      </c>
      <c r="AO13" s="3">
        <f t="shared" si="3"/>
        <v>1.1203152264179284</v>
      </c>
    </row>
    <row r="14" spans="1:41" x14ac:dyDescent="0.3">
      <c r="A14" s="2">
        <v>9.7304583408888803</v>
      </c>
      <c r="B14" s="2">
        <v>20.408554305970711</v>
      </c>
      <c r="C14" s="2">
        <v>28.924330000545041</v>
      </c>
      <c r="J14" s="51"/>
      <c r="K14" s="52"/>
      <c r="L14" s="52"/>
      <c r="M14" s="52"/>
      <c r="N14" s="53"/>
      <c r="O14" s="50">
        <f t="shared" si="10"/>
        <v>31.334495943393375</v>
      </c>
      <c r="P14" s="46">
        <f t="shared" si="4"/>
        <v>34</v>
      </c>
      <c r="Q14" s="45">
        <f t="shared" si="5"/>
        <v>1.7000000000000001E-2</v>
      </c>
      <c r="R14" s="45">
        <f t="shared" si="6"/>
        <v>4.3421886329115481E-3</v>
      </c>
      <c r="X14" s="10"/>
      <c r="Y14" s="15"/>
      <c r="Z14" s="15"/>
      <c r="AA14" s="15"/>
      <c r="AB14" s="16"/>
      <c r="AC14" s="9">
        <f t="shared" si="11"/>
        <v>21.859703941275701</v>
      </c>
      <c r="AD14" s="5">
        <f t="shared" si="7"/>
        <v>222</v>
      </c>
      <c r="AE14" s="5">
        <f t="shared" si="8"/>
        <v>0.111</v>
      </c>
      <c r="AF14" s="5">
        <f t="shared" si="9"/>
        <v>6.0932966825548135E-2</v>
      </c>
      <c r="AN14" s="3">
        <f t="shared" si="2"/>
        <v>23.654610655166589</v>
      </c>
      <c r="AO14" s="3">
        <f t="shared" si="3"/>
        <v>1.1513677147187127</v>
      </c>
    </row>
    <row r="15" spans="1:41" x14ac:dyDescent="0.3">
      <c r="A15" s="2">
        <v>7.6486072678903829</v>
      </c>
      <c r="B15" s="2">
        <v>23.813211117626</v>
      </c>
      <c r="C15" s="2">
        <v>27.384065721647289</v>
      </c>
      <c r="J15" s="51"/>
      <c r="K15" s="52"/>
      <c r="L15" s="52"/>
      <c r="M15" s="52"/>
      <c r="N15" s="53"/>
      <c r="O15" s="50">
        <f t="shared" si="10"/>
        <v>35.249572287877534</v>
      </c>
      <c r="P15" s="46">
        <f t="shared" si="4"/>
        <v>20</v>
      </c>
      <c r="Q15" s="45">
        <f t="shared" si="5"/>
        <v>0.01</v>
      </c>
      <c r="R15" s="45">
        <f t="shared" si="6"/>
        <v>2.5542286075950281E-3</v>
      </c>
      <c r="X15" s="10"/>
      <c r="Y15" s="15"/>
      <c r="Z15" s="15"/>
      <c r="AA15" s="15"/>
      <c r="AB15" s="16"/>
      <c r="AC15" s="9">
        <f t="shared" si="11"/>
        <v>23.681377918152528</v>
      </c>
      <c r="AD15" s="5">
        <f t="shared" si="7"/>
        <v>292</v>
      </c>
      <c r="AE15" s="5">
        <f t="shared" si="8"/>
        <v>0.14599999999999999</v>
      </c>
      <c r="AF15" s="5">
        <f t="shared" si="9"/>
        <v>8.0146064473243489E-2</v>
      </c>
      <c r="AN15" s="3">
        <f t="shared" si="2"/>
        <v>2.1285169352074416</v>
      </c>
      <c r="AO15" s="3">
        <f t="shared" si="3"/>
        <v>6.8292444796110745</v>
      </c>
    </row>
    <row r="16" spans="1:41" x14ac:dyDescent="0.3">
      <c r="A16" s="2">
        <v>0.12038448373213841</v>
      </c>
      <c r="B16" s="2">
        <v>28.21281020525193</v>
      </c>
      <c r="C16" s="2">
        <v>28.020156023107059</v>
      </c>
      <c r="J16" s="51"/>
      <c r="K16" s="52"/>
      <c r="L16" s="52"/>
      <c r="M16" s="52"/>
      <c r="N16" s="53"/>
      <c r="O16" s="50">
        <f t="shared" si="10"/>
        <v>39.16464863236169</v>
      </c>
      <c r="P16" s="46">
        <f t="shared" si="4"/>
        <v>9</v>
      </c>
      <c r="Q16" s="45">
        <f t="shared" si="5"/>
        <v>4.4999999999999997E-3</v>
      </c>
      <c r="R16" s="45">
        <f t="shared" si="6"/>
        <v>1.1494028734177625E-3</v>
      </c>
      <c r="X16" s="10"/>
      <c r="Y16" s="15"/>
      <c r="Z16" s="15"/>
      <c r="AA16" s="15"/>
      <c r="AB16" s="16"/>
      <c r="AC16" s="9">
        <f t="shared" si="11"/>
        <v>25.503051895029355</v>
      </c>
      <c r="AD16" s="5">
        <f t="shared" si="7"/>
        <v>286</v>
      </c>
      <c r="AE16" s="5">
        <f t="shared" si="8"/>
        <v>0.14299999999999999</v>
      </c>
      <c r="AF16" s="5">
        <f t="shared" si="9"/>
        <v>7.8499227532012453E-2</v>
      </c>
      <c r="AN16" s="3">
        <f t="shared" si="2"/>
        <v>8.6474536745358428</v>
      </c>
      <c r="AO16" s="3">
        <f t="shared" si="3"/>
        <v>3.9092882748399571</v>
      </c>
    </row>
    <row r="17" spans="1:41" x14ac:dyDescent="0.3">
      <c r="A17" s="2">
        <v>4.903759255872493</v>
      </c>
      <c r="B17" s="2">
        <v>22.477259900020059</v>
      </c>
      <c r="C17" s="2">
        <v>25.21333770202763</v>
      </c>
      <c r="J17" s="51"/>
      <c r="K17" s="52"/>
      <c r="L17" s="52"/>
      <c r="M17" s="52"/>
      <c r="N17" s="53"/>
      <c r="O17" s="50">
        <f t="shared" si="10"/>
        <v>43.079724976845846</v>
      </c>
      <c r="P17" s="46">
        <f t="shared" si="4"/>
        <v>4</v>
      </c>
      <c r="Q17" s="45">
        <f t="shared" si="5"/>
        <v>2E-3</v>
      </c>
      <c r="R17" s="45">
        <f t="shared" si="6"/>
        <v>5.1084572151900557E-4</v>
      </c>
      <c r="X17" s="10"/>
      <c r="Y17" s="15"/>
      <c r="Z17" s="15"/>
      <c r="AA17" s="15"/>
      <c r="AB17" s="16"/>
      <c r="AC17" s="9">
        <f t="shared" si="11"/>
        <v>27.324725871906182</v>
      </c>
      <c r="AD17" s="5">
        <f t="shared" si="7"/>
        <v>256</v>
      </c>
      <c r="AE17" s="5">
        <f t="shared" si="8"/>
        <v>0.128</v>
      </c>
      <c r="AF17" s="5">
        <f t="shared" si="9"/>
        <v>7.0265042825857313E-2</v>
      </c>
      <c r="AN17" s="3">
        <f t="shared" si="2"/>
        <v>7.8114380131730989</v>
      </c>
      <c r="AO17" s="3">
        <f t="shared" si="3"/>
        <v>22.88675492150821</v>
      </c>
    </row>
    <row r="18" spans="1:41" x14ac:dyDescent="0.3">
      <c r="A18" s="2">
        <v>19.005195353156392</v>
      </c>
      <c r="B18" s="2">
        <v>21.446326972745641</v>
      </c>
      <c r="C18" s="2">
        <v>35.458621104811883</v>
      </c>
      <c r="J18" s="51"/>
      <c r="K18" s="52"/>
      <c r="L18" s="52"/>
      <c r="M18" s="52"/>
      <c r="N18" s="53"/>
      <c r="O18" s="50">
        <f t="shared" si="10"/>
        <v>46.994801321330002</v>
      </c>
      <c r="P18" s="46">
        <f t="shared" si="4"/>
        <v>13</v>
      </c>
      <c r="Q18" s="45">
        <f t="shared" si="5"/>
        <v>6.4999999999999997E-3</v>
      </c>
      <c r="R18" s="45">
        <f t="shared" si="6"/>
        <v>1.6602485949367681E-3</v>
      </c>
      <c r="X18" s="10"/>
      <c r="Y18" s="15"/>
      <c r="Z18" s="15"/>
      <c r="AA18" s="15"/>
      <c r="AB18" s="16"/>
      <c r="AC18" s="9">
        <f t="shared" si="11"/>
        <v>29.146399848783009</v>
      </c>
      <c r="AD18" s="5">
        <f t="shared" si="7"/>
        <v>174</v>
      </c>
      <c r="AE18" s="5">
        <f t="shared" si="8"/>
        <v>8.6999999999999994E-2</v>
      </c>
      <c r="AF18" s="5">
        <f t="shared" si="9"/>
        <v>4.7758271295699886E-2</v>
      </c>
      <c r="AN18" s="3">
        <f t="shared" si="2"/>
        <v>14.636959263610175</v>
      </c>
      <c r="AO18" s="3">
        <f t="shared" si="3"/>
        <v>29.825503479670591</v>
      </c>
    </row>
    <row r="19" spans="1:41" x14ac:dyDescent="0.3">
      <c r="A19" s="2">
        <v>6.2153371859644144</v>
      </c>
      <c r="B19" s="2">
        <v>27.199003641221669</v>
      </c>
      <c r="C19" s="2">
        <v>30.549480147681269</v>
      </c>
      <c r="J19" s="51"/>
      <c r="K19" s="52"/>
      <c r="L19" s="52"/>
      <c r="M19" s="52"/>
      <c r="N19" s="53"/>
      <c r="O19" s="50">
        <f t="shared" si="10"/>
        <v>50.909877665814157</v>
      </c>
      <c r="P19" s="46">
        <f t="shared" si="4"/>
        <v>6</v>
      </c>
      <c r="Q19" s="45">
        <f t="shared" si="5"/>
        <v>3.0000000000000001E-3</v>
      </c>
      <c r="R19" s="45">
        <f t="shared" si="6"/>
        <v>7.6626858227850847E-4</v>
      </c>
      <c r="X19" s="10"/>
      <c r="Y19" s="15"/>
      <c r="Z19" s="15"/>
      <c r="AA19" s="15"/>
      <c r="AB19" s="16"/>
      <c r="AC19" s="9">
        <f t="shared" si="11"/>
        <v>30.968073825659836</v>
      </c>
      <c r="AD19" s="5">
        <f t="shared" si="7"/>
        <v>107</v>
      </c>
      <c r="AE19" s="5">
        <f t="shared" si="8"/>
        <v>5.3499999999999999E-2</v>
      </c>
      <c r="AF19" s="5">
        <f t="shared" si="9"/>
        <v>2.9368592118620047E-2</v>
      </c>
      <c r="AN19" s="3">
        <f t="shared" si="2"/>
        <v>3.7127461044601549</v>
      </c>
      <c r="AO19" s="3">
        <f t="shared" si="3"/>
        <v>0.30484986344600029</v>
      </c>
    </row>
    <row r="20" spans="1:41" x14ac:dyDescent="0.3">
      <c r="A20" s="2">
        <v>6.8173558722093004</v>
      </c>
      <c r="B20" s="2">
        <v>26.679845324818231</v>
      </c>
      <c r="C20" s="2">
        <v>28.502256297144839</v>
      </c>
      <c r="J20" s="51"/>
      <c r="K20" s="52"/>
      <c r="L20" s="52"/>
      <c r="M20" s="52"/>
      <c r="N20" s="53"/>
      <c r="O20" s="50">
        <f t="shared" si="10"/>
        <v>54.824954010298313</v>
      </c>
      <c r="P20" s="46">
        <f t="shared" si="4"/>
        <v>3</v>
      </c>
      <c r="Q20" s="45">
        <f t="shared" si="5"/>
        <v>1.5E-3</v>
      </c>
      <c r="R20" s="45">
        <f t="shared" si="6"/>
        <v>3.8313429113925423E-4</v>
      </c>
      <c r="X20" s="10"/>
      <c r="Y20" s="15"/>
      <c r="Z20" s="15"/>
      <c r="AA20" s="15"/>
      <c r="AB20" s="16"/>
      <c r="AC20" s="9">
        <f t="shared" si="11"/>
        <v>32.78974780253666</v>
      </c>
      <c r="AD20" s="5">
        <f t="shared" si="7"/>
        <v>75</v>
      </c>
      <c r="AE20" s="5">
        <f t="shared" si="8"/>
        <v>3.7499999999999999E-2</v>
      </c>
      <c r="AF20" s="5">
        <f t="shared" si="9"/>
        <v>2.0585461765387881E-2</v>
      </c>
      <c r="AN20" s="3">
        <f t="shared" si="2"/>
        <v>1.9815923561697812</v>
      </c>
      <c r="AO20" s="3">
        <f t="shared" si="3"/>
        <v>2.2352993219543547</v>
      </c>
    </row>
    <row r="21" spans="1:41" x14ac:dyDescent="0.3">
      <c r="A21" s="2">
        <v>14.153153712494809</v>
      </c>
      <c r="B21" s="2">
        <v>28.2023194264194</v>
      </c>
      <c r="C21" s="2">
        <v>33.278351604299132</v>
      </c>
      <c r="J21" s="51"/>
      <c r="K21" s="52"/>
      <c r="L21" s="52"/>
      <c r="M21" s="52"/>
      <c r="N21" s="53"/>
      <c r="O21" s="50">
        <f t="shared" si="10"/>
        <v>58.740030354782469</v>
      </c>
      <c r="P21" s="46">
        <f t="shared" si="4"/>
        <v>1</v>
      </c>
      <c r="Q21" s="45">
        <f t="shared" si="5"/>
        <v>5.0000000000000001E-4</v>
      </c>
      <c r="R21" s="45">
        <f t="shared" si="6"/>
        <v>1.2771143037975139E-4</v>
      </c>
      <c r="X21" s="10"/>
      <c r="Y21" s="15"/>
      <c r="Z21" s="15"/>
      <c r="AA21" s="15"/>
      <c r="AB21" s="16"/>
      <c r="AC21" s="9">
        <f t="shared" si="11"/>
        <v>34.611421779413483</v>
      </c>
      <c r="AD21" s="5">
        <f t="shared" si="7"/>
        <v>40</v>
      </c>
      <c r="AE21" s="5">
        <f t="shared" si="8"/>
        <v>0.02</v>
      </c>
      <c r="AF21" s="5">
        <f t="shared" si="9"/>
        <v>1.0978912941540204E-2</v>
      </c>
      <c r="AN21" s="3">
        <f t="shared" si="2"/>
        <v>8.5858642019369533</v>
      </c>
      <c r="AO21" s="3">
        <f t="shared" si="3"/>
        <v>10.764984383675294</v>
      </c>
    </row>
    <row r="22" spans="1:41" x14ac:dyDescent="0.3">
      <c r="A22" s="2">
        <v>27.48661949353178</v>
      </c>
      <c r="B22" s="2">
        <v>28.942957383681701</v>
      </c>
      <c r="C22" s="2">
        <v>26.214935482520922</v>
      </c>
      <c r="J22" s="51"/>
      <c r="K22" s="52"/>
      <c r="L22" s="52"/>
      <c r="M22" s="52"/>
      <c r="N22" s="53"/>
      <c r="O22" s="54">
        <f t="shared" si="10"/>
        <v>62.655106699266625</v>
      </c>
      <c r="P22" s="55">
        <f>COUNTIFS($A$2:$A$2001, "&gt;="&amp;O22,$A$2:$A$2001,"&lt;="&amp;O23)</f>
        <v>2</v>
      </c>
      <c r="Q22" s="45">
        <f t="shared" si="5"/>
        <v>1E-3</v>
      </c>
      <c r="R22" s="45">
        <f t="shared" si="6"/>
        <v>2.5542286075950279E-4</v>
      </c>
      <c r="X22" s="10"/>
      <c r="Y22" s="15"/>
      <c r="Z22" s="15"/>
      <c r="AA22" s="15"/>
      <c r="AB22" s="16"/>
      <c r="AC22" s="9">
        <f t="shared" si="11"/>
        <v>36.433095756290307</v>
      </c>
      <c r="AD22" s="5">
        <f t="shared" si="7"/>
        <v>19</v>
      </c>
      <c r="AE22" s="5">
        <f t="shared" si="8"/>
        <v>9.4999999999999998E-3</v>
      </c>
      <c r="AF22" s="5">
        <f t="shared" si="9"/>
        <v>5.2149836472315967E-3</v>
      </c>
      <c r="AN22" s="3">
        <f t="shared" si="2"/>
        <v>13.474790936904956</v>
      </c>
      <c r="AO22" s="3">
        <f t="shared" si="3"/>
        <v>14.306644761048855</v>
      </c>
    </row>
    <row r="23" spans="1:41" x14ac:dyDescent="0.3">
      <c r="A23" s="2">
        <v>6.1051982942060334</v>
      </c>
      <c r="B23" s="2">
        <v>23.32725216201974</v>
      </c>
      <c r="C23" s="2">
        <v>26.938963001847331</v>
      </c>
      <c r="J23" s="51"/>
      <c r="K23" s="52"/>
      <c r="L23" s="52"/>
      <c r="M23" s="52"/>
      <c r="N23" s="53"/>
      <c r="O23" s="50">
        <f t="shared" si="10"/>
        <v>66.570183043750788</v>
      </c>
      <c r="P23" s="46">
        <f t="shared" si="4"/>
        <v>0</v>
      </c>
      <c r="Q23" s="45">
        <f t="shared" si="5"/>
        <v>0</v>
      </c>
      <c r="R23" s="45">
        <f t="shared" si="6"/>
        <v>0</v>
      </c>
      <c r="X23" s="10"/>
      <c r="Y23" s="15"/>
      <c r="Z23" s="15"/>
      <c r="AA23" s="15"/>
      <c r="AB23" s="16"/>
      <c r="AC23" s="9">
        <f t="shared" si="11"/>
        <v>38.25476973316713</v>
      </c>
      <c r="AD23" s="5">
        <f t="shared" si="7"/>
        <v>7</v>
      </c>
      <c r="AE23" s="5">
        <f t="shared" si="8"/>
        <v>3.5000000000000001E-3</v>
      </c>
      <c r="AF23" s="5">
        <f t="shared" si="9"/>
        <v>1.9213097647695358E-3</v>
      </c>
      <c r="AN23" s="3">
        <f t="shared" si="2"/>
        <v>3.7826466269821077</v>
      </c>
      <c r="AO23" s="3">
        <f t="shared" si="3"/>
        <v>9.3537190465069635</v>
      </c>
    </row>
    <row r="24" spans="1:41" x14ac:dyDescent="0.3">
      <c r="A24" s="2">
        <v>10.275147830352109</v>
      </c>
      <c r="B24" s="2">
        <v>26.247648405875619</v>
      </c>
      <c r="C24" s="2">
        <v>24.01754969609906</v>
      </c>
      <c r="J24" s="51"/>
      <c r="K24" s="52"/>
      <c r="L24" s="52"/>
      <c r="M24" s="52"/>
      <c r="N24" s="53"/>
      <c r="O24" s="50">
        <f t="shared" si="10"/>
        <v>70.485259388234951</v>
      </c>
      <c r="P24" s="46">
        <f t="shared" si="4"/>
        <v>0</v>
      </c>
      <c r="Q24" s="45">
        <f t="shared" si="5"/>
        <v>0</v>
      </c>
      <c r="R24" s="45">
        <f t="shared" si="6"/>
        <v>0</v>
      </c>
      <c r="X24" s="10"/>
      <c r="Y24" s="15"/>
      <c r="Z24" s="15"/>
      <c r="AA24" s="15"/>
      <c r="AB24" s="16"/>
      <c r="AC24" s="9">
        <f t="shared" si="11"/>
        <v>40.076443710043954</v>
      </c>
      <c r="AD24" s="5">
        <f t="shared" si="7"/>
        <v>3</v>
      </c>
      <c r="AE24" s="5">
        <f t="shared" si="8"/>
        <v>1.5E-3</v>
      </c>
      <c r="AF24" s="5">
        <f t="shared" si="9"/>
        <v>8.2341847061551533E-4</v>
      </c>
      <c r="AN24" s="3">
        <f t="shared" si="2"/>
        <v>0.95158759666797288</v>
      </c>
      <c r="AO24" s="3">
        <f t="shared" si="3"/>
        <v>35.757988243322202</v>
      </c>
    </row>
    <row r="25" spans="1:41" x14ac:dyDescent="0.3">
      <c r="A25" s="2">
        <v>4.7012507316008127</v>
      </c>
      <c r="B25" s="2">
        <v>23.714463136970309</v>
      </c>
      <c r="C25" s="2">
        <v>32.093279743974541</v>
      </c>
      <c r="J25" s="51"/>
      <c r="K25" s="52"/>
      <c r="L25" s="52"/>
      <c r="M25" s="52"/>
      <c r="N25" s="53"/>
      <c r="O25" s="50">
        <f t="shared" si="10"/>
        <v>74.400335732719114</v>
      </c>
      <c r="P25" s="46">
        <f t="shared" si="4"/>
        <v>3</v>
      </c>
      <c r="Q25" s="45">
        <f t="shared" si="5"/>
        <v>1.5E-3</v>
      </c>
      <c r="R25" s="45">
        <f t="shared" si="6"/>
        <v>3.8313429113925423E-4</v>
      </c>
      <c r="X25" s="10"/>
      <c r="Y25" s="15"/>
      <c r="Z25" s="15"/>
      <c r="AA25" s="15"/>
      <c r="AB25" s="15"/>
      <c r="AC25" s="9">
        <f t="shared" si="11"/>
        <v>41.898117686920777</v>
      </c>
      <c r="AD25" s="5">
        <f t="shared" si="7"/>
        <v>1</v>
      </c>
      <c r="AE25" s="5">
        <f t="shared" si="8"/>
        <v>5.0000000000000001E-4</v>
      </c>
      <c r="AF25" s="5">
        <f t="shared" si="9"/>
        <v>2.7447282353850513E-4</v>
      </c>
      <c r="AN25" s="3">
        <f t="shared" si="2"/>
        <v>2.4264036020035156</v>
      </c>
      <c r="AO25" s="3">
        <f t="shared" si="3"/>
        <v>4.3929297043601814</v>
      </c>
    </row>
    <row r="26" spans="1:41" x14ac:dyDescent="0.3">
      <c r="A26" s="2">
        <v>11.03794888293935</v>
      </c>
      <c r="B26" s="2">
        <v>29.75811721913756</v>
      </c>
      <c r="C26" s="2">
        <v>25.737511935320189</v>
      </c>
      <c r="J26" s="56"/>
      <c r="K26" s="57"/>
      <c r="L26" s="57"/>
      <c r="M26" s="57"/>
      <c r="N26" s="58"/>
      <c r="O26" s="50">
        <f t="shared" si="10"/>
        <v>78.315412077203277</v>
      </c>
      <c r="P26" s="46">
        <f t="shared" si="4"/>
        <v>0</v>
      </c>
      <c r="Q26" s="45">
        <f t="shared" si="5"/>
        <v>0</v>
      </c>
      <c r="R26" s="45">
        <f t="shared" si="6"/>
        <v>0</v>
      </c>
      <c r="X26" s="11"/>
      <c r="Y26" s="17"/>
      <c r="Z26" s="17"/>
      <c r="AA26" s="17"/>
      <c r="AB26" s="18"/>
      <c r="AC26" s="9">
        <f t="shared" si="11"/>
        <v>43.719791663797601</v>
      </c>
      <c r="AD26" s="5">
        <f t="shared" si="7"/>
        <v>0</v>
      </c>
      <c r="AE26" s="5">
        <f t="shared" si="8"/>
        <v>0</v>
      </c>
      <c r="AF26" s="5">
        <f t="shared" si="9"/>
        <v>0</v>
      </c>
      <c r="AN26" s="3">
        <f t="shared" si="2"/>
        <v>20.123858005347042</v>
      </c>
      <c r="AO26" s="3">
        <f t="shared" si="3"/>
        <v>18.146203645573699</v>
      </c>
    </row>
    <row r="27" spans="1:41" x14ac:dyDescent="0.3">
      <c r="A27" s="2">
        <v>16.857559178840521</v>
      </c>
      <c r="B27" s="2">
        <v>32.450058684053467</v>
      </c>
      <c r="C27" s="2">
        <v>27.37148242933657</v>
      </c>
      <c r="AN27" s="3">
        <f t="shared" si="2"/>
        <v>51.522302855735305</v>
      </c>
      <c r="AO27" s="3">
        <f t="shared" si="3"/>
        <v>6.8951702094811873</v>
      </c>
    </row>
    <row r="28" spans="1:41" x14ac:dyDescent="0.3">
      <c r="A28" s="2">
        <v>12.34545402448166</v>
      </c>
      <c r="B28" s="2">
        <v>20.876135723037631</v>
      </c>
      <c r="C28" s="2">
        <v>24.296635213146921</v>
      </c>
      <c r="AN28" s="3">
        <f t="shared" si="2"/>
        <v>19.324984529132223</v>
      </c>
      <c r="AO28" s="3">
        <f t="shared" si="3"/>
        <v>32.498126743400874</v>
      </c>
    </row>
    <row r="29" spans="1:41" x14ac:dyDescent="0.3">
      <c r="A29" s="2">
        <v>13.9765313682538</v>
      </c>
      <c r="B29" s="2">
        <v>25.29727335456176</v>
      </c>
      <c r="C29" s="2">
        <v>25.56413084067697</v>
      </c>
      <c r="AN29" s="3">
        <f t="shared" si="2"/>
        <v>6.3093718862118457E-4</v>
      </c>
      <c r="AO29" s="3">
        <f t="shared" si="3"/>
        <v>19.653414743491957</v>
      </c>
    </row>
    <row r="30" spans="1:41" x14ac:dyDescent="0.3">
      <c r="A30" s="2">
        <v>1.0792013427672129</v>
      </c>
      <c r="B30" s="2">
        <v>25.385934255733861</v>
      </c>
      <c r="C30" s="2">
        <v>41.133980160736591</v>
      </c>
      <c r="I30" t="s">
        <v>25</v>
      </c>
      <c r="J30">
        <v>0.01</v>
      </c>
      <c r="X30" t="s">
        <v>27</v>
      </c>
      <c r="AN30" s="3">
        <f t="shared" si="2"/>
        <v>1.2945743734685006E-2</v>
      </c>
      <c r="AO30" s="3">
        <f t="shared" si="3"/>
        <v>124.02457497473986</v>
      </c>
    </row>
    <row r="31" spans="1:41" x14ac:dyDescent="0.3">
      <c r="A31" s="2">
        <v>7.6410420404730219</v>
      </c>
      <c r="B31" s="2">
        <v>28.274332650362961</v>
      </c>
      <c r="C31" s="2">
        <v>31.2391420687552</v>
      </c>
      <c r="J31" s="37" t="s">
        <v>18</v>
      </c>
      <c r="K31" s="37"/>
      <c r="L31" s="37"/>
      <c r="M31" s="37"/>
      <c r="N31" s="37"/>
      <c r="O31" s="37"/>
      <c r="P31" s="37"/>
      <c r="Q31" s="37"/>
      <c r="R31" s="37"/>
      <c r="X31" s="38" t="s">
        <v>26</v>
      </c>
      <c r="Y31" s="38"/>
      <c r="Z31" s="38"/>
      <c r="AA31" s="38"/>
      <c r="AB31" s="38"/>
      <c r="AC31" s="38"/>
      <c r="AD31" s="38"/>
      <c r="AE31" s="38"/>
      <c r="AF31" s="38"/>
      <c r="AN31" s="3">
        <f t="shared" si="2"/>
        <v>9.0130712960547967</v>
      </c>
      <c r="AO31" s="3">
        <f t="shared" si="3"/>
        <v>1.5420524078581181</v>
      </c>
    </row>
    <row r="32" spans="1:41" x14ac:dyDescent="0.3">
      <c r="A32" s="2">
        <v>0.74257607261533909</v>
      </c>
      <c r="B32" s="2">
        <v>33.830791113349868</v>
      </c>
      <c r="C32" s="2">
        <v>34.802321839404449</v>
      </c>
      <c r="J32" s="30" t="s">
        <v>19</v>
      </c>
      <c r="K32" s="31"/>
      <c r="L32" s="30" t="s">
        <v>20</v>
      </c>
      <c r="M32" s="35"/>
      <c r="N32" s="31"/>
      <c r="O32" s="20" t="s">
        <v>21</v>
      </c>
      <c r="P32" s="21" t="s">
        <v>22</v>
      </c>
      <c r="Q32" s="20" t="s">
        <v>23</v>
      </c>
      <c r="R32" s="20" t="s">
        <v>24</v>
      </c>
      <c r="X32" s="30" t="s">
        <v>19</v>
      </c>
      <c r="Y32" s="31"/>
      <c r="Z32" s="30" t="s">
        <v>20</v>
      </c>
      <c r="AA32" s="35"/>
      <c r="AB32" s="31"/>
      <c r="AC32" s="20" t="s">
        <v>21</v>
      </c>
      <c r="AD32" s="21" t="s">
        <v>22</v>
      </c>
      <c r="AE32" s="20" t="s">
        <v>23</v>
      </c>
      <c r="AF32" s="20" t="s">
        <v>24</v>
      </c>
      <c r="AN32" s="3">
        <f t="shared" si="2"/>
        <v>73.250253978654371</v>
      </c>
      <c r="AO32" s="3">
        <f t="shared" si="3"/>
        <v>23.087773205247867</v>
      </c>
    </row>
    <row r="33" spans="1:41" x14ac:dyDescent="0.3">
      <c r="A33" s="2">
        <v>1.606898183594976</v>
      </c>
      <c r="B33" s="2">
        <v>18.07792127975047</v>
      </c>
      <c r="C33" s="2">
        <v>36.672215067975429</v>
      </c>
      <c r="J33" s="30">
        <v>34.799999999999997</v>
      </c>
      <c r="K33" s="31"/>
      <c r="L33" s="32" t="str">
        <f>IF(O33&lt;=J33,"ДА","НЕТ")</f>
        <v>НЕТ</v>
      </c>
      <c r="M33" s="33"/>
      <c r="N33" s="34"/>
      <c r="O33" s="22">
        <f>M6*SUM(S33:S52)</f>
        <v>45.491155078541809</v>
      </c>
      <c r="P33" s="25">
        <f>L6-1-1</f>
        <v>18</v>
      </c>
      <c r="Q33" s="22">
        <f>_xlfn.EXPON.DIST(O7,0.1,TRUE) - _xlfn.EXPON.DIST(O6,0.1,TRUE)</f>
        <v>0.32351359399300772</v>
      </c>
      <c r="R33" s="22">
        <f>Q6</f>
        <v>0.3165</v>
      </c>
      <c r="S33">
        <f>(R33-Q33)^2/Q33</f>
        <v>1.5205079975655399E-4</v>
      </c>
      <c r="X33" s="30">
        <v>19.510000000000002</v>
      </c>
      <c r="Y33" s="31"/>
      <c r="Z33" s="32" t="str">
        <f>IF(AC33&lt;=X33,"ДА","НЕТ")</f>
        <v>ДА</v>
      </c>
      <c r="AA33" s="33"/>
      <c r="AB33" s="34"/>
      <c r="AC33" s="22">
        <f>AA6*SUM(AG33:AG52)</f>
        <v>18.527660221980952</v>
      </c>
      <c r="AD33" s="21">
        <f>Z6-2-1</f>
        <v>17</v>
      </c>
      <c r="AE33" s="22">
        <f>_xlfn.NORM.DIST(AC7,$AI$2,$AJ$2,TRUE) - _xlfn.NORM.DIST(AC6,$AI$2,$AJ$2,TRUE)</f>
        <v>5.4244608584141669E-4</v>
      </c>
      <c r="AF33" s="22">
        <f>AE6</f>
        <v>5.0000000000000001E-4</v>
      </c>
      <c r="AG33" s="15">
        <f>(AF33-AE33)^2/AE33</f>
        <v>3.3213811478835684E-6</v>
      </c>
      <c r="AN33" s="3">
        <f t="shared" si="2"/>
        <v>51.756997259843502</v>
      </c>
      <c r="AO33" s="3">
        <f t="shared" si="3"/>
        <v>44.553849830435688</v>
      </c>
    </row>
    <row r="34" spans="1:41" x14ac:dyDescent="0.3">
      <c r="A34" s="2">
        <v>20.233905003948749</v>
      </c>
      <c r="B34" s="2">
        <v>30.052475820915468</v>
      </c>
      <c r="C34" s="2">
        <v>27.482986290189359</v>
      </c>
      <c r="J34" s="10"/>
      <c r="K34" s="15"/>
      <c r="L34" s="23"/>
      <c r="M34" s="23"/>
      <c r="N34" s="23"/>
      <c r="O34" s="23"/>
      <c r="P34" s="23"/>
      <c r="Q34" s="22">
        <f>_xlfn.EXPON.DIST(O8,0.1,TRUE) - _xlfn.EXPON.DIST(O7,0.1,TRUE)</f>
        <v>0.21870712373131462</v>
      </c>
      <c r="R34" s="22">
        <f>Q7</f>
        <v>0.21</v>
      </c>
      <c r="S34">
        <f t="shared" ref="S34:S52" si="12">(R34-Q34)^2/Q34</f>
        <v>3.4664624717739508E-4</v>
      </c>
      <c r="X34" s="10"/>
      <c r="Y34" s="15"/>
      <c r="Z34" s="23"/>
      <c r="AA34" s="23"/>
      <c r="AB34" s="23"/>
      <c r="AC34" s="23"/>
      <c r="AD34" s="23"/>
      <c r="AE34" s="22">
        <f>_xlfn.NORM.DIST(AC8,$AI$2,$AJ$2,TRUE) - _xlfn.NORM.DIST(AC7,$AI$2,$AJ$2,TRUE)</f>
        <v>1.7054997188523796E-3</v>
      </c>
      <c r="AF34" s="22">
        <f t="shared" ref="AF34:AF52" si="13">AE7</f>
        <v>2.5000000000000001E-3</v>
      </c>
      <c r="AG34" s="15">
        <f t="shared" ref="AG34:AG52" si="14">(AF34-AE34)^2/AE34</f>
        <v>3.7011480551189964E-4</v>
      </c>
      <c r="AN34" s="3">
        <f t="shared" si="2"/>
        <v>22.851468188595074</v>
      </c>
      <c r="AO34" s="3">
        <f t="shared" si="3"/>
        <v>6.3220150129481461</v>
      </c>
    </row>
    <row r="35" spans="1:41" x14ac:dyDescent="0.3">
      <c r="A35" s="2">
        <v>7.4170475593474752</v>
      </c>
      <c r="B35" s="2">
        <v>25.07107497236877</v>
      </c>
      <c r="C35" s="2">
        <v>30.064753695722452</v>
      </c>
      <c r="J35" s="10"/>
      <c r="K35" s="15"/>
      <c r="L35" s="23"/>
      <c r="M35" s="23"/>
      <c r="N35" s="23"/>
      <c r="O35" s="23"/>
      <c r="P35" s="23"/>
      <c r="Q35" s="22">
        <f t="shared" ref="Q34:Q52" si="15">_xlfn.EXPON.DIST(O9,0.1,TRUE) - _xlfn.EXPON.DIST(O8,0.1,TRUE)</f>
        <v>0.14785408359643282</v>
      </c>
      <c r="R35" s="22">
        <f t="shared" ref="R35:R52" si="16">Q8</f>
        <v>0.152</v>
      </c>
      <c r="S35">
        <f t="shared" si="12"/>
        <v>1.1625396071091074E-4</v>
      </c>
      <c r="X35" s="10"/>
      <c r="Y35" s="15"/>
      <c r="Z35" s="23"/>
      <c r="AA35" s="23"/>
      <c r="AB35" s="23"/>
      <c r="AC35" s="23"/>
      <c r="AD35" s="23"/>
      <c r="AE35" s="22">
        <f t="shared" ref="AE34:AE52" si="17">_xlfn.NORM.DIST(AC9,$AI$2,$AJ$2,TRUE) - _xlfn.NORM.DIST(AC8,$AI$2,$AJ$2,TRUE)</f>
        <v>4.7021612163990721E-3</v>
      </c>
      <c r="AF35" s="22">
        <f t="shared" si="13"/>
        <v>4.0000000000000001E-3</v>
      </c>
      <c r="AG35" s="15">
        <f t="shared" si="14"/>
        <v>1.0485186515841931E-4</v>
      </c>
      <c r="AN35" s="3">
        <f t="shared" si="2"/>
        <v>4.0433133861521919E-2</v>
      </c>
      <c r="AO35" s="3">
        <f t="shared" si="3"/>
        <v>4.543522315140232E-3</v>
      </c>
    </row>
    <row r="36" spans="1:41" x14ac:dyDescent="0.3">
      <c r="A36" s="2">
        <v>18.97037659170925</v>
      </c>
      <c r="B36" s="2">
        <v>28.729104861052441</v>
      </c>
      <c r="C36" s="2">
        <v>29.149514234220899</v>
      </c>
      <c r="J36" s="10"/>
      <c r="K36" s="15"/>
      <c r="L36" s="23"/>
      <c r="M36" s="23"/>
      <c r="N36" s="23"/>
      <c r="O36" s="23"/>
      <c r="P36" s="23"/>
      <c r="Q36" s="22">
        <f t="shared" si="15"/>
        <v>9.9954814745757181E-2</v>
      </c>
      <c r="R36" s="22">
        <f t="shared" si="16"/>
        <v>0.10299999999999999</v>
      </c>
      <c r="S36">
        <f t="shared" si="12"/>
        <v>9.2773452246846242E-5</v>
      </c>
      <c r="X36" s="10"/>
      <c r="Y36" s="15"/>
      <c r="Z36" s="23"/>
      <c r="AA36" s="23"/>
      <c r="AB36" s="23"/>
      <c r="AC36" s="23"/>
      <c r="AD36" s="23"/>
      <c r="AE36" s="22">
        <f t="shared" si="17"/>
        <v>1.1368470991428566E-2</v>
      </c>
      <c r="AF36" s="22">
        <f t="shared" si="13"/>
        <v>1.0500000000000001E-2</v>
      </c>
      <c r="AG36" s="15">
        <f t="shared" si="14"/>
        <v>6.6345057617826352E-5</v>
      </c>
      <c r="AN36" s="3">
        <f t="shared" si="2"/>
        <v>11.950503092268855</v>
      </c>
      <c r="AO36" s="3">
        <f t="shared" si="3"/>
        <v>0.71882216358324424</v>
      </c>
    </row>
    <row r="37" spans="1:41" x14ac:dyDescent="0.3">
      <c r="A37" s="2">
        <v>13.978718035005411</v>
      </c>
      <c r="B37" s="2">
        <v>20.984168327746399</v>
      </c>
      <c r="C37" s="2">
        <v>29.008111963606371</v>
      </c>
      <c r="J37" s="10"/>
      <c r="K37" s="15"/>
      <c r="L37" s="23"/>
      <c r="M37" s="15"/>
      <c r="N37" s="15"/>
      <c r="O37" s="15"/>
      <c r="P37" s="23"/>
      <c r="Q37" s="22">
        <f t="shared" si="15"/>
        <v>6.7573142031903233E-2</v>
      </c>
      <c r="R37" s="22">
        <f t="shared" si="16"/>
        <v>6.0999999999999999E-2</v>
      </c>
      <c r="S37">
        <f t="shared" si="12"/>
        <v>6.3939895160083102E-4</v>
      </c>
      <c r="X37" s="10"/>
      <c r="Y37" s="15"/>
      <c r="Z37" s="23"/>
      <c r="AA37" s="15"/>
      <c r="AB37" s="15"/>
      <c r="AC37" s="15"/>
      <c r="AD37" s="23"/>
      <c r="AE37" s="22">
        <f t="shared" si="17"/>
        <v>2.4103065690366379E-2</v>
      </c>
      <c r="AF37" s="22">
        <f t="shared" si="13"/>
        <v>2.1000000000000001E-2</v>
      </c>
      <c r="AG37" s="15">
        <f t="shared" si="14"/>
        <v>3.9949344213825592E-4</v>
      </c>
      <c r="AN37" s="3">
        <f t="shared" si="2"/>
        <v>18.386828770583815</v>
      </c>
      <c r="AO37" s="3">
        <f t="shared" si="3"/>
        <v>0.97858801642708082</v>
      </c>
    </row>
    <row r="38" spans="1:41" x14ac:dyDescent="0.3">
      <c r="A38" s="2">
        <v>5.4375949031164694</v>
      </c>
      <c r="B38" s="2">
        <v>18.705382613469769</v>
      </c>
      <c r="C38" s="2">
        <v>39.133803653169878</v>
      </c>
      <c r="J38" s="10"/>
      <c r="K38" s="15"/>
      <c r="L38" s="23"/>
      <c r="M38" s="15"/>
      <c r="N38" s="15"/>
      <c r="O38" s="15"/>
      <c r="P38" s="23"/>
      <c r="Q38" s="22">
        <f t="shared" si="15"/>
        <v>4.56819367398964E-2</v>
      </c>
      <c r="R38" s="22">
        <f t="shared" si="16"/>
        <v>4.4499999999999998E-2</v>
      </c>
      <c r="S38">
        <f t="shared" si="12"/>
        <v>3.0580456014179592E-5</v>
      </c>
      <c r="X38" s="10"/>
      <c r="Y38" s="15"/>
      <c r="Z38" s="23"/>
      <c r="AA38" s="15"/>
      <c r="AB38" s="15"/>
      <c r="AC38" s="15"/>
      <c r="AD38" s="23"/>
      <c r="AE38" s="22">
        <f t="shared" si="17"/>
        <v>4.4814056612827842E-2</v>
      </c>
      <c r="AF38" s="22">
        <f t="shared" si="13"/>
        <v>0.04</v>
      </c>
      <c r="AG38" s="15">
        <f t="shared" si="14"/>
        <v>5.1713999631262302E-4</v>
      </c>
      <c r="AN38" s="3">
        <f t="shared" si="2"/>
        <v>43.122498150974025</v>
      </c>
      <c r="AO38" s="3">
        <f t="shared" si="3"/>
        <v>83.474821156752938</v>
      </c>
    </row>
    <row r="39" spans="1:41" x14ac:dyDescent="0.3">
      <c r="A39" s="2">
        <v>16.775013179080439</v>
      </c>
      <c r="B39" s="2">
        <v>17.490299413209168</v>
      </c>
      <c r="C39" s="2">
        <v>22.770160263330521</v>
      </c>
      <c r="J39" s="10"/>
      <c r="K39" s="15"/>
      <c r="L39" s="23"/>
      <c r="M39" s="23"/>
      <c r="N39" s="23"/>
      <c r="O39" s="23"/>
      <c r="P39" s="23"/>
      <c r="Q39" s="22">
        <f t="shared" si="15"/>
        <v>3.0882674411124134E-2</v>
      </c>
      <c r="R39" s="22">
        <f t="shared" si="16"/>
        <v>4.1000000000000002E-2</v>
      </c>
      <c r="S39">
        <f t="shared" si="12"/>
        <v>3.3144887553667184E-3</v>
      </c>
      <c r="X39" s="10"/>
      <c r="Y39" s="15"/>
      <c r="Z39" s="23"/>
      <c r="AA39" s="23"/>
      <c r="AB39" s="23"/>
      <c r="AC39" s="23"/>
      <c r="AD39" s="23"/>
      <c r="AE39" s="22">
        <f t="shared" si="17"/>
        <v>7.3068982019311224E-2</v>
      </c>
      <c r="AF39" s="22">
        <f t="shared" si="13"/>
        <v>7.1999999999999995E-2</v>
      </c>
      <c r="AG39" s="15">
        <f t="shared" si="14"/>
        <v>1.563895549152041E-5</v>
      </c>
      <c r="AN39" s="3">
        <f t="shared" si="2"/>
        <v>60.557274684374207</v>
      </c>
      <c r="AO39" s="3">
        <f t="shared" si="3"/>
        <v>52.23224317084545</v>
      </c>
    </row>
    <row r="40" spans="1:41" x14ac:dyDescent="0.3">
      <c r="A40" s="2">
        <v>6.0398438227501856</v>
      </c>
      <c r="B40" s="2">
        <v>20.826507963028892</v>
      </c>
      <c r="C40" s="2">
        <v>25.934803435999619</v>
      </c>
      <c r="J40" s="10"/>
      <c r="K40" s="15"/>
      <c r="L40" s="23"/>
      <c r="M40" s="23"/>
      <c r="N40" s="23"/>
      <c r="O40" s="23"/>
      <c r="P40" s="23"/>
      <c r="Q40" s="22">
        <f t="shared" si="15"/>
        <v>2.0877827142353644E-2</v>
      </c>
      <c r="R40" s="22">
        <f t="shared" si="16"/>
        <v>2.4500000000000001E-2</v>
      </c>
      <c r="S40">
        <f t="shared" si="12"/>
        <v>6.2842441031873031E-4</v>
      </c>
      <c r="X40" s="10"/>
      <c r="Y40" s="15"/>
      <c r="Z40" s="23"/>
      <c r="AA40" s="23"/>
      <c r="AB40" s="23"/>
      <c r="AC40" s="23"/>
      <c r="AD40" s="23"/>
      <c r="AE40" s="22">
        <f t="shared" si="17"/>
        <v>0.10447989524581949</v>
      </c>
      <c r="AF40" s="22">
        <f t="shared" si="13"/>
        <v>0.1085</v>
      </c>
      <c r="AG40" s="15">
        <f t="shared" si="14"/>
        <v>1.5468279515940041E-4</v>
      </c>
      <c r="AN40" s="3">
        <f t="shared" si="2"/>
        <v>19.763776612264223</v>
      </c>
      <c r="AO40" s="3">
        <f t="shared" si="3"/>
        <v>16.50426866601585</v>
      </c>
    </row>
    <row r="41" spans="1:41" x14ac:dyDescent="0.3">
      <c r="A41" s="2">
        <v>6.9465608693609653</v>
      </c>
      <c r="B41" s="2">
        <v>23.48177963339775</v>
      </c>
      <c r="C41" s="2">
        <v>37.040814589275449</v>
      </c>
      <c r="J41" s="10"/>
      <c r="K41" s="15"/>
      <c r="L41" s="23"/>
      <c r="M41" s="23"/>
      <c r="N41" s="23"/>
      <c r="O41" s="23"/>
      <c r="P41" s="23"/>
      <c r="Q41" s="22">
        <f t="shared" si="15"/>
        <v>1.4114181316790209E-2</v>
      </c>
      <c r="R41" s="22">
        <f t="shared" si="16"/>
        <v>1.7000000000000001E-2</v>
      </c>
      <c r="S41">
        <f t="shared" si="12"/>
        <v>5.9004127022626424E-4</v>
      </c>
      <c r="X41" s="10"/>
      <c r="Y41" s="15"/>
      <c r="Z41" s="23"/>
      <c r="AA41" s="23"/>
      <c r="AB41" s="23"/>
      <c r="AC41" s="23"/>
      <c r="AD41" s="23"/>
      <c r="AE41" s="22">
        <f t="shared" si="17"/>
        <v>0.13101356407120157</v>
      </c>
      <c r="AF41" s="22">
        <f t="shared" si="13"/>
        <v>0.111</v>
      </c>
      <c r="AG41" s="15">
        <f t="shared" si="14"/>
        <v>3.0572616634901139E-3</v>
      </c>
      <c r="AN41" s="3">
        <f t="shared" si="2"/>
        <v>3.205443564679566</v>
      </c>
      <c r="AO41" s="3">
        <f t="shared" si="3"/>
        <v>49.610421019452488</v>
      </c>
    </row>
    <row r="42" spans="1:41" x14ac:dyDescent="0.3">
      <c r="A42" s="2">
        <v>10.985151224498241</v>
      </c>
      <c r="B42" s="2">
        <v>29.202887909013569</v>
      </c>
      <c r="C42" s="2">
        <v>42.750739447589943</v>
      </c>
      <c r="J42" s="10"/>
      <c r="K42" s="15"/>
      <c r="L42" s="23"/>
      <c r="M42" s="23"/>
      <c r="N42" s="23"/>
      <c r="O42" s="23"/>
      <c r="P42" s="23"/>
      <c r="Q42" s="22">
        <f t="shared" si="15"/>
        <v>9.541707232507135E-3</v>
      </c>
      <c r="R42" s="22">
        <f t="shared" si="16"/>
        <v>0.01</v>
      </c>
      <c r="S42">
        <f t="shared" si="12"/>
        <v>2.2012021079490013E-5</v>
      </c>
      <c r="X42" s="10"/>
      <c r="Y42" s="15"/>
      <c r="Z42" s="23"/>
      <c r="AA42" s="23"/>
      <c r="AB42" s="23"/>
      <c r="AC42" s="23"/>
      <c r="AD42" s="23"/>
      <c r="AE42" s="22">
        <f t="shared" si="17"/>
        <v>0.144073981440622</v>
      </c>
      <c r="AF42" s="22">
        <f t="shared" si="13"/>
        <v>0.14599999999999999</v>
      </c>
      <c r="AG42" s="15">
        <f t="shared" si="14"/>
        <v>2.5747518420578275E-5</v>
      </c>
      <c r="AN42" s="3">
        <f t="shared" si="2"/>
        <v>15.450662055289964</v>
      </c>
      <c r="AO42" s="3">
        <f t="shared" si="3"/>
        <v>162.64899237471084</v>
      </c>
    </row>
    <row r="43" spans="1:41" x14ac:dyDescent="0.3">
      <c r="A43" s="2">
        <v>9.6896379573804374</v>
      </c>
      <c r="B43" s="2">
        <v>16.851932949270829</v>
      </c>
      <c r="C43" s="2">
        <v>28.31335857050632</v>
      </c>
      <c r="J43" s="10"/>
      <c r="K43" s="15"/>
      <c r="L43" s="23"/>
      <c r="M43" s="23"/>
      <c r="N43" s="23"/>
      <c r="O43" s="23"/>
      <c r="P43" s="23"/>
      <c r="Q43" s="22">
        <f t="shared" si="15"/>
        <v>6.4505460761349331E-3</v>
      </c>
      <c r="R43" s="22">
        <f t="shared" si="16"/>
        <v>4.4999999999999997E-3</v>
      </c>
      <c r="S43">
        <f t="shared" si="12"/>
        <v>5.898151800203962E-4</v>
      </c>
      <c r="X43" s="10"/>
      <c r="Y43" s="15"/>
      <c r="Z43" s="23"/>
      <c r="AA43" s="23"/>
      <c r="AB43" s="23"/>
      <c r="AC43" s="23"/>
      <c r="AD43" s="23"/>
      <c r="AE43" s="22">
        <f t="shared" si="17"/>
        <v>0.13894451915048012</v>
      </c>
      <c r="AF43" s="22">
        <f t="shared" si="13"/>
        <v>0.14299999999999999</v>
      </c>
      <c r="AG43" s="15">
        <f t="shared" si="14"/>
        <v>1.1837044758138333E-4</v>
      </c>
      <c r="AN43" s="3">
        <f t="shared" si="2"/>
        <v>70.900137555715034</v>
      </c>
      <c r="AO43" s="3">
        <f t="shared" si="3"/>
        <v>2.8358205360695909</v>
      </c>
    </row>
    <row r="44" spans="1:41" x14ac:dyDescent="0.3">
      <c r="A44" s="2">
        <v>25.95795227900922</v>
      </c>
      <c r="B44" s="2">
        <v>24.74312170549976</v>
      </c>
      <c r="C44" s="2">
        <v>32.356984080214048</v>
      </c>
      <c r="J44" s="10"/>
      <c r="K44" s="15"/>
      <c r="L44" s="23"/>
      <c r="M44" s="23"/>
      <c r="N44" s="23"/>
      <c r="O44" s="23"/>
      <c r="P44" s="23"/>
      <c r="Q44" s="22">
        <f t="shared" si="15"/>
        <v>4.3608071036368434E-3</v>
      </c>
      <c r="R44" s="22">
        <f t="shared" si="16"/>
        <v>2E-3</v>
      </c>
      <c r="S44">
        <f>(R44-Q44)^2/Q44</f>
        <v>1.2780684969839751E-3</v>
      </c>
      <c r="X44" s="10"/>
      <c r="Y44" s="15"/>
      <c r="Z44" s="23"/>
      <c r="AA44" s="23"/>
      <c r="AB44" s="23"/>
      <c r="AC44" s="23"/>
      <c r="AD44" s="23"/>
      <c r="AE44" s="22">
        <f t="shared" si="17"/>
        <v>0.11751235825837858</v>
      </c>
      <c r="AF44" s="22">
        <f t="shared" si="13"/>
        <v>0.128</v>
      </c>
      <c r="AG44" s="15">
        <f t="shared" si="14"/>
        <v>9.3599201761196675E-4</v>
      </c>
      <c r="AN44" s="3">
        <f t="shared" si="2"/>
        <v>0.27987611184667915</v>
      </c>
      <c r="AO44" s="3">
        <f t="shared" si="3"/>
        <v>5.5678822384881563</v>
      </c>
    </row>
    <row r="45" spans="1:41" x14ac:dyDescent="0.3">
      <c r="A45" s="2">
        <v>21.42972139181677</v>
      </c>
      <c r="B45" s="2">
        <v>24.827313989373881</v>
      </c>
      <c r="C45" s="2">
        <v>21.554062982207181</v>
      </c>
      <c r="J45" s="10"/>
      <c r="K45" s="15"/>
      <c r="L45" s="23"/>
      <c r="M45" s="23"/>
      <c r="N45" s="23"/>
      <c r="O45" s="23"/>
      <c r="P45" s="23"/>
      <c r="Q45" s="22">
        <f t="shared" si="15"/>
        <v>2.9480664692072001E-3</v>
      </c>
      <c r="R45" s="22">
        <f t="shared" si="16"/>
        <v>6.4999999999999997E-3</v>
      </c>
      <c r="S45">
        <f t="shared" si="12"/>
        <v>4.2794936745652774E-3</v>
      </c>
      <c r="X45" s="10"/>
      <c r="Y45" s="15"/>
      <c r="Z45" s="23"/>
      <c r="AA45" s="23"/>
      <c r="AB45" s="23"/>
      <c r="AC45" s="23"/>
      <c r="AD45" s="23"/>
      <c r="AE45" s="22">
        <f t="shared" si="17"/>
        <v>8.7158653427388266E-2</v>
      </c>
      <c r="AF45" s="22">
        <f t="shared" si="13"/>
        <v>8.6999999999999994E-2</v>
      </c>
      <c r="AG45" s="15">
        <f t="shared" si="14"/>
        <v>2.8879415906781561E-7</v>
      </c>
      <c r="AN45" s="3">
        <f t="shared" si="2"/>
        <v>0.19788342816831941</v>
      </c>
      <c r="AO45" s="3">
        <f t="shared" si="3"/>
        <v>71.289062580704893</v>
      </c>
    </row>
    <row r="46" spans="1:41" x14ac:dyDescent="0.3">
      <c r="A46" s="2">
        <v>10.997188338307939</v>
      </c>
      <c r="B46" s="2">
        <v>25.995899961739081</v>
      </c>
      <c r="C46" s="2">
        <v>26.705583237128241</v>
      </c>
      <c r="J46" s="10"/>
      <c r="K46" s="15"/>
      <c r="L46" s="23"/>
      <c r="M46" s="23"/>
      <c r="N46" s="23"/>
      <c r="O46" s="23"/>
      <c r="P46" s="23"/>
      <c r="Q46" s="22">
        <f t="shared" si="15"/>
        <v>1.9930016853108024E-3</v>
      </c>
      <c r="R46" s="22">
        <f t="shared" si="16"/>
        <v>3.0000000000000001E-3</v>
      </c>
      <c r="S46">
        <f t="shared" si="12"/>
        <v>5.0880318529622677E-4</v>
      </c>
      <c r="X46" s="10"/>
      <c r="Y46" s="15"/>
      <c r="Z46" s="23"/>
      <c r="AA46" s="23"/>
      <c r="AB46" s="23"/>
      <c r="AC46" s="23"/>
      <c r="AD46" s="23"/>
      <c r="AE46" s="22">
        <f t="shared" si="17"/>
        <v>5.6691745092770973E-2</v>
      </c>
      <c r="AF46" s="22">
        <f t="shared" si="13"/>
        <v>5.3499999999999999E-2</v>
      </c>
      <c r="AG46" s="15">
        <f t="shared" si="14"/>
        <v>1.7969523994290691E-4</v>
      </c>
      <c r="AN46" s="3">
        <f t="shared" si="2"/>
        <v>0.52380692675404117</v>
      </c>
      <c r="AO46" s="3">
        <f t="shared" si="3"/>
        <v>10.835715522710945</v>
      </c>
    </row>
    <row r="47" spans="1:41" x14ac:dyDescent="0.3">
      <c r="A47" s="2">
        <v>4.605764188093052</v>
      </c>
      <c r="B47" s="2">
        <v>27.90627509714863</v>
      </c>
      <c r="C47" s="2">
        <v>30.387395675244811</v>
      </c>
      <c r="J47" s="10"/>
      <c r="K47" s="15"/>
      <c r="L47" s="23"/>
      <c r="M47" s="23"/>
      <c r="N47" s="23"/>
      <c r="O47" s="23"/>
      <c r="P47" s="23"/>
      <c r="Q47" s="22">
        <f t="shared" si="15"/>
        <v>1.3473426597196969E-3</v>
      </c>
      <c r="R47" s="22">
        <f>Q20</f>
        <v>1.5E-3</v>
      </c>
      <c r="S47">
        <f t="shared" si="12"/>
        <v>1.7296463801053039E-5</v>
      </c>
      <c r="X47" s="10"/>
      <c r="Y47" s="15"/>
      <c r="Z47" s="23"/>
      <c r="AA47" s="23"/>
      <c r="AB47" s="23"/>
      <c r="AC47" s="23"/>
      <c r="AD47" s="23"/>
      <c r="AE47" s="22">
        <f t="shared" si="17"/>
        <v>3.2337609011827362E-2</v>
      </c>
      <c r="AF47" s="22">
        <f t="shared" si="13"/>
        <v>3.7499999999999999E-2</v>
      </c>
      <c r="AG47" s="15">
        <f t="shared" si="14"/>
        <v>8.2412650561205093E-4</v>
      </c>
      <c r="AN47" s="3">
        <f t="shared" si="2"/>
        <v>6.938589258019908</v>
      </c>
      <c r="AO47" s="3">
        <f t="shared" si="3"/>
        <v>0.15213715713376844</v>
      </c>
    </row>
    <row r="48" spans="1:41" x14ac:dyDescent="0.3">
      <c r="A48" s="2">
        <v>5.7797396674975126</v>
      </c>
      <c r="B48" s="2">
        <v>31.552805820041829</v>
      </c>
      <c r="C48" s="2">
        <v>31.216476537315671</v>
      </c>
      <c r="J48" s="10"/>
      <c r="K48" s="15"/>
      <c r="L48" s="23"/>
      <c r="M48" s="23"/>
      <c r="N48" s="23"/>
      <c r="O48" s="23"/>
      <c r="P48" s="23"/>
      <c r="Q48" s="22">
        <f t="shared" si="15"/>
        <v>9.1085334050644562E-4</v>
      </c>
      <c r="R48" s="22">
        <f t="shared" si="16"/>
        <v>5.0000000000000001E-4</v>
      </c>
      <c r="S48">
        <f t="shared" si="12"/>
        <v>1.8532123657959054E-4</v>
      </c>
      <c r="X48" s="10"/>
      <c r="Y48" s="15"/>
      <c r="Z48" s="23"/>
      <c r="AA48" s="23"/>
      <c r="AB48" s="23"/>
      <c r="AC48" s="23"/>
      <c r="AD48" s="23"/>
      <c r="AE48" s="22">
        <f t="shared" si="17"/>
        <v>1.6175962482325557E-2</v>
      </c>
      <c r="AF48" s="22">
        <f t="shared" si="13"/>
        <v>0.02</v>
      </c>
      <c r="AG48" s="15">
        <f t="shared" si="14"/>
        <v>9.0401192216905989E-4</v>
      </c>
      <c r="AN48" s="3">
        <f t="shared" si="2"/>
        <v>39.446576086702471</v>
      </c>
      <c r="AO48" s="3">
        <f t="shared" si="3"/>
        <v>1.4862742910096083</v>
      </c>
    </row>
    <row r="49" spans="1:41" x14ac:dyDescent="0.3">
      <c r="A49" s="2">
        <v>7.0380058829591716</v>
      </c>
      <c r="B49" s="2">
        <v>21.750659583989201</v>
      </c>
      <c r="C49" s="2">
        <v>27.370448926618948</v>
      </c>
      <c r="J49" s="10"/>
      <c r="K49" s="15"/>
      <c r="L49" s="23"/>
      <c r="M49" s="23"/>
      <c r="N49" s="23"/>
      <c r="O49" s="23"/>
      <c r="P49" s="23"/>
      <c r="Q49" s="22">
        <f t="shared" si="15"/>
        <v>6.1577045893024263E-4</v>
      </c>
      <c r="R49" s="22">
        <f t="shared" si="16"/>
        <v>1E-3</v>
      </c>
      <c r="S49">
        <f t="shared" si="12"/>
        <v>2.3975222924326885E-4</v>
      </c>
      <c r="X49" s="10"/>
      <c r="Y49" s="15"/>
      <c r="Z49" s="23"/>
      <c r="AA49" s="23"/>
      <c r="AB49" s="23"/>
      <c r="AC49" s="23"/>
      <c r="AD49" s="23"/>
      <c r="AE49" s="22">
        <f t="shared" si="17"/>
        <v>7.0957919567607997E-3</v>
      </c>
      <c r="AF49" s="22">
        <f t="shared" si="13"/>
        <v>9.4999999999999998E-3</v>
      </c>
      <c r="AG49" s="15">
        <f t="shared" si="14"/>
        <v>8.1459777152411176E-4</v>
      </c>
      <c r="AN49" s="3">
        <f t="shared" si="2"/>
        <v>12.400929200535115</v>
      </c>
      <c r="AO49" s="3">
        <f t="shared" si="3"/>
        <v>6.9005989561001746</v>
      </c>
    </row>
    <row r="50" spans="1:41" x14ac:dyDescent="0.3">
      <c r="A50" s="2">
        <v>14.62403512795925</v>
      </c>
      <c r="B50" s="2">
        <v>22.07083528017392</v>
      </c>
      <c r="C50" s="2">
        <v>29.74054840235431</v>
      </c>
      <c r="J50" s="10"/>
      <c r="K50" s="15"/>
      <c r="L50" s="23"/>
      <c r="M50" s="23"/>
      <c r="N50" s="23"/>
      <c r="O50" s="23"/>
      <c r="P50" s="23"/>
      <c r="Q50" s="22">
        <f t="shared" si="15"/>
        <v>4.1628354558176373E-4</v>
      </c>
      <c r="R50" s="22">
        <f t="shared" si="16"/>
        <v>0</v>
      </c>
      <c r="S50">
        <f t="shared" si="12"/>
        <v>4.1628354558176373E-4</v>
      </c>
      <c r="X50" s="10"/>
      <c r="Y50" s="15"/>
      <c r="Z50" s="23"/>
      <c r="AA50" s="23"/>
      <c r="AB50" s="23"/>
      <c r="AC50" s="23"/>
      <c r="AD50" s="23"/>
      <c r="AE50" s="22">
        <f t="shared" si="17"/>
        <v>2.7295656552982495E-3</v>
      </c>
      <c r="AF50" s="22">
        <f t="shared" si="13"/>
        <v>3.5000000000000001E-3</v>
      </c>
      <c r="AG50" s="15">
        <f t="shared" si="14"/>
        <v>2.1745916913332457E-4</v>
      </c>
      <c r="AN50" s="3">
        <f t="shared" si="2"/>
        <v>10.248447253601453</v>
      </c>
      <c r="AO50" s="3">
        <f t="shared" si="3"/>
        <v>6.5946054307301452E-2</v>
      </c>
    </row>
    <row r="51" spans="1:41" x14ac:dyDescent="0.3">
      <c r="A51" s="2">
        <v>2.617860603054178</v>
      </c>
      <c r="B51" s="2">
        <v>15.029482904883659</v>
      </c>
      <c r="C51" s="2">
        <v>33.530616238350063</v>
      </c>
      <c r="J51" s="10"/>
      <c r="K51" s="15"/>
      <c r="L51" s="23"/>
      <c r="M51" s="23"/>
      <c r="N51" s="23"/>
      <c r="O51" s="23"/>
      <c r="P51" s="23"/>
      <c r="Q51" s="22">
        <f t="shared" si="15"/>
        <v>2.814230332245371E-4</v>
      </c>
      <c r="R51" s="22">
        <f t="shared" si="16"/>
        <v>0</v>
      </c>
      <c r="S51">
        <f t="shared" si="12"/>
        <v>2.814230332245371E-4</v>
      </c>
      <c r="X51" s="10"/>
      <c r="Y51" s="15"/>
      <c r="Z51" s="23"/>
      <c r="AA51" s="23"/>
      <c r="AB51" s="23"/>
      <c r="AC51" s="23"/>
      <c r="AD51" s="23"/>
      <c r="AE51" s="22">
        <f t="shared" si="17"/>
        <v>9.2074770428862696E-4</v>
      </c>
      <c r="AF51" s="22">
        <f t="shared" si="13"/>
        <v>1.5E-3</v>
      </c>
      <c r="AG51" s="15">
        <f t="shared" si="14"/>
        <v>3.6441385682968404E-4</v>
      </c>
      <c r="AN51" s="3">
        <f t="shared" si="2"/>
        <v>104.91232942458483</v>
      </c>
      <c r="AO51" s="3">
        <f t="shared" si="3"/>
        <v>12.483984155798524</v>
      </c>
    </row>
    <row r="52" spans="1:41" x14ac:dyDescent="0.3">
      <c r="A52" s="2">
        <v>20.49774545409716</v>
      </c>
      <c r="B52" s="2">
        <v>26.571739007270491</v>
      </c>
      <c r="C52" s="2">
        <v>26.07241564533177</v>
      </c>
      <c r="J52" s="11"/>
      <c r="K52" s="17"/>
      <c r="L52" s="24"/>
      <c r="M52" s="24"/>
      <c r="N52" s="24"/>
      <c r="O52" s="24"/>
      <c r="P52" s="24"/>
      <c r="Q52" s="22">
        <f t="shared" si="15"/>
        <v>1.902523519602406E-4</v>
      </c>
      <c r="R52" s="22">
        <f t="shared" si="16"/>
        <v>1.5E-3</v>
      </c>
      <c r="S52">
        <f t="shared" si="12"/>
        <v>9.0166501694768971E-3</v>
      </c>
      <c r="X52" s="11"/>
      <c r="Y52" s="17"/>
      <c r="Z52" s="24"/>
      <c r="AA52" s="24"/>
      <c r="AB52" s="24"/>
      <c r="AC52" s="24"/>
      <c r="AD52" s="24"/>
      <c r="AE52" s="22">
        <f t="shared" si="17"/>
        <v>2.7235403851666451E-4</v>
      </c>
      <c r="AF52" s="22">
        <f t="shared" si="13"/>
        <v>5.0000000000000001E-4</v>
      </c>
      <c r="AG52" s="15">
        <f t="shared" si="14"/>
        <v>1.9027690597839766E-4</v>
      </c>
      <c r="AN52" s="3">
        <f t="shared" si="2"/>
        <v>1.688918874068317</v>
      </c>
      <c r="AO52" s="3">
        <f t="shared" si="3"/>
        <v>15.405094309018365</v>
      </c>
    </row>
    <row r="53" spans="1:41" x14ac:dyDescent="0.3">
      <c r="A53" s="2">
        <v>0.8338381316436666</v>
      </c>
      <c r="B53" s="2">
        <v>26.879230101636331</v>
      </c>
      <c r="C53" s="2">
        <v>28.73967950763365</v>
      </c>
      <c r="AN53" s="3">
        <f t="shared" si="2"/>
        <v>2.5826907311650071</v>
      </c>
      <c r="AO53" s="3">
        <f t="shared" si="3"/>
        <v>1.581730139323972</v>
      </c>
    </row>
    <row r="54" spans="1:41" x14ac:dyDescent="0.3">
      <c r="A54" s="2">
        <v>2.7268218630883951</v>
      </c>
      <c r="B54" s="2">
        <v>27.29859738339227</v>
      </c>
      <c r="C54" s="2">
        <v>34.823356027364802</v>
      </c>
      <c r="AN54" s="3">
        <f t="shared" si="2"/>
        <v>4.1064691731108223</v>
      </c>
      <c r="AO54" s="3">
        <f t="shared" si="3"/>
        <v>23.290353086359737</v>
      </c>
    </row>
    <row r="55" spans="1:41" ht="15" thickBot="1" x14ac:dyDescent="0.35">
      <c r="A55" s="2">
        <v>2.4465814464603972</v>
      </c>
      <c r="B55" s="2">
        <v>22.97066378708837</v>
      </c>
      <c r="C55" s="2">
        <v>34.520492253009678</v>
      </c>
      <c r="J55" s="39" t="s">
        <v>28</v>
      </c>
      <c r="K55" s="39"/>
      <c r="L55" s="39"/>
      <c r="M55" s="39"/>
      <c r="N55" s="39"/>
      <c r="O55" s="39"/>
      <c r="P55" s="39"/>
      <c r="Q55" s="39"/>
      <c r="R55" s="39"/>
      <c r="X55" s="40" t="s">
        <v>36</v>
      </c>
      <c r="Y55" s="40"/>
      <c r="Z55" s="40"/>
      <c r="AA55" s="40"/>
      <c r="AB55" s="40"/>
      <c r="AC55" s="40"/>
      <c r="AD55" s="40"/>
      <c r="AE55" s="40"/>
      <c r="AF55" s="40"/>
      <c r="AN55" s="3">
        <f t="shared" si="2"/>
        <v>5.2968613034993002</v>
      </c>
      <c r="AO55" s="3">
        <f t="shared" si="3"/>
        <v>20.458833564420114</v>
      </c>
    </row>
    <row r="56" spans="1:41" ht="15.6" thickTop="1" thickBot="1" x14ac:dyDescent="0.35">
      <c r="A56" s="2">
        <v>14.822482387998409</v>
      </c>
      <c r="B56" s="2">
        <v>25.026796717682181</v>
      </c>
      <c r="C56" s="2">
        <v>23.969231348757699</v>
      </c>
      <c r="J56" s="10"/>
      <c r="K56" s="15"/>
      <c r="L56" s="5" t="s">
        <v>29</v>
      </c>
      <c r="M56" s="26" t="s">
        <v>30</v>
      </c>
      <c r="N56" s="5" t="s">
        <v>11</v>
      </c>
      <c r="O56" s="5" t="s">
        <v>31</v>
      </c>
      <c r="P56" s="5" t="s">
        <v>32</v>
      </c>
      <c r="Q56" s="29" t="s">
        <v>33</v>
      </c>
      <c r="R56" s="29"/>
      <c r="X56" s="10"/>
      <c r="Y56" s="15"/>
      <c r="Z56" s="5" t="s">
        <v>29</v>
      </c>
      <c r="AA56" s="26" t="s">
        <v>30</v>
      </c>
      <c r="AB56" s="5" t="s">
        <v>11</v>
      </c>
      <c r="AC56" s="5" t="s">
        <v>31</v>
      </c>
      <c r="AD56" s="5" t="s">
        <v>32</v>
      </c>
      <c r="AE56" s="29" t="s">
        <v>33</v>
      </c>
      <c r="AF56" s="29"/>
      <c r="AN56" s="3">
        <f t="shared" si="2"/>
        <v>6.0200633439325461E-2</v>
      </c>
      <c r="AO56" s="3">
        <f t="shared" si="3"/>
        <v>36.338190852913392</v>
      </c>
    </row>
    <row r="57" spans="1:41" ht="15.6" thickTop="1" thickBot="1" x14ac:dyDescent="0.35">
      <c r="A57" s="2">
        <v>6.4582027754997187</v>
      </c>
      <c r="B57" s="2">
        <v>29.783952797123192</v>
      </c>
      <c r="C57" s="2">
        <v>30.56505726417387</v>
      </c>
      <c r="J57" s="10"/>
      <c r="K57" s="15"/>
      <c r="L57" s="5">
        <f>MAX(Q57:R76)</f>
        <v>1.7672250044181048E-2</v>
      </c>
      <c r="M57" s="5">
        <f>SQRT(M6) * L57</f>
        <v>0.79032704828324973</v>
      </c>
      <c r="N57" s="5">
        <f>Q6</f>
        <v>0.3165</v>
      </c>
      <c r="O57" s="5">
        <f>_xlfn.EXPON.DIST(O7,0.1,TRUE)</f>
        <v>0.3249011491988768</v>
      </c>
      <c r="P57" s="5">
        <f>N57</f>
        <v>0.3165</v>
      </c>
      <c r="Q57" s="29">
        <f>ABS(O57-P57)</f>
        <v>8.4011491988768006E-3</v>
      </c>
      <c r="R57" s="29"/>
      <c r="X57" s="10"/>
      <c r="Y57" s="15"/>
      <c r="Z57" s="5">
        <f>MAX(AE57:AF76)</f>
        <v>2.5996139928338047E-2</v>
      </c>
      <c r="AA57" s="5">
        <f>SQRT(AA6) * Z57</f>
        <v>1.1625827206472077</v>
      </c>
      <c r="AB57" s="5">
        <f>AE6</f>
        <v>5.0000000000000001E-4</v>
      </c>
      <c r="AC57" s="5">
        <f>_xlfn.NORM.DIST(AC6, $AI$2, $AJ$2, TRUE)</f>
        <v>1.9799827629009845E-4</v>
      </c>
      <c r="AD57" s="5">
        <f>AB57</f>
        <v>5.0000000000000001E-4</v>
      </c>
      <c r="AE57" s="29">
        <f>ABS(AC57-AD57)</f>
        <v>3.0200172370990156E-4</v>
      </c>
      <c r="AF57" s="29"/>
      <c r="AN57" s="3">
        <f t="shared" si="2"/>
        <v>20.356320341551559</v>
      </c>
      <c r="AO57" s="3">
        <f t="shared" si="3"/>
        <v>0.32229376230052481</v>
      </c>
    </row>
    <row r="58" spans="1:41" ht="15.6" thickTop="1" thickBot="1" x14ac:dyDescent="0.35">
      <c r="A58" s="2">
        <v>6.0624151150890313</v>
      </c>
      <c r="B58" s="2">
        <v>24.242078632207601</v>
      </c>
      <c r="C58" s="2">
        <v>34.757947870200837</v>
      </c>
      <c r="J58" s="10"/>
      <c r="K58" s="15"/>
      <c r="L58" s="15"/>
      <c r="M58" s="26" t="s">
        <v>34</v>
      </c>
      <c r="N58" s="27">
        <f t="shared" ref="N58:N73" si="18">Q7</f>
        <v>0.21</v>
      </c>
      <c r="O58" s="5">
        <f t="shared" ref="O58:O76" si="19">_xlfn.EXPON.DIST(O8,0.1,TRUE)</f>
        <v>0.54360827293019143</v>
      </c>
      <c r="P58" s="5">
        <f>P57+N58</f>
        <v>0.52649999999999997</v>
      </c>
      <c r="Q58" s="29">
        <f t="shared" ref="Q58:Q76" si="20">ABS(O58-P58)</f>
        <v>1.7108272930191459E-2</v>
      </c>
      <c r="R58" s="29"/>
      <c r="X58" s="10"/>
      <c r="Y58" s="15"/>
      <c r="Z58" s="15"/>
      <c r="AA58" s="26" t="s">
        <v>34</v>
      </c>
      <c r="AB58" s="27">
        <f t="shared" ref="AB58:AB76" si="21">AE7</f>
        <v>2.5000000000000001E-3</v>
      </c>
      <c r="AC58" s="5">
        <f t="shared" ref="AC58:AC76" si="22">_xlfn.NORM.DIST(AC8, $AI$2, $AJ$2, TRUE)</f>
        <v>2.4459440809838947E-3</v>
      </c>
      <c r="AD58" s="5">
        <f>AD57+AB58</f>
        <v>3.0000000000000001E-3</v>
      </c>
      <c r="AE58" s="29">
        <f t="shared" ref="AE58:AE76" si="23">ABS(AC58-AD58)</f>
        <v>5.5405591901610532E-4</v>
      </c>
      <c r="AF58" s="29"/>
      <c r="AN58" s="3">
        <f t="shared" si="2"/>
        <v>1.0610570998743201</v>
      </c>
      <c r="AO58" s="3">
        <f t="shared" si="3"/>
        <v>22.663310735664133</v>
      </c>
    </row>
    <row r="59" spans="1:41" ht="29.4" thickTop="1" x14ac:dyDescent="0.3">
      <c r="A59" s="2">
        <v>0.66719523284197413</v>
      </c>
      <c r="B59" s="2">
        <v>28.866308033690991</v>
      </c>
      <c r="C59" s="2">
        <v>27.151172524729621</v>
      </c>
      <c r="J59" s="28" t="s">
        <v>35</v>
      </c>
      <c r="K59" s="15"/>
      <c r="L59" s="15"/>
      <c r="M59" s="5">
        <v>0.54400000000000004</v>
      </c>
      <c r="N59" s="5">
        <f t="shared" si="18"/>
        <v>0.152</v>
      </c>
      <c r="O59" s="5">
        <f t="shared" si="19"/>
        <v>0.69146235652662424</v>
      </c>
      <c r="P59" s="5">
        <f t="shared" ref="P59:P76" si="24">P58+N59</f>
        <v>0.67849999999999999</v>
      </c>
      <c r="Q59" s="29">
        <f t="shared" si="20"/>
        <v>1.2962356526624252E-2</v>
      </c>
      <c r="R59" s="29"/>
      <c r="X59" s="10"/>
      <c r="Y59" s="15"/>
      <c r="Z59" s="15" t="s">
        <v>37</v>
      </c>
      <c r="AA59" s="5">
        <v>0.112</v>
      </c>
      <c r="AB59" s="5">
        <f t="shared" si="21"/>
        <v>4.0000000000000001E-3</v>
      </c>
      <c r="AC59" s="5">
        <f t="shared" si="22"/>
        <v>7.1481052973829673E-3</v>
      </c>
      <c r="AD59" s="5">
        <f t="shared" ref="AD59:AD76" si="25">AD58+AB59</f>
        <v>7.0000000000000001E-3</v>
      </c>
      <c r="AE59" s="29">
        <f t="shared" si="23"/>
        <v>1.4810529738296715E-4</v>
      </c>
      <c r="AF59" s="29"/>
      <c r="AN59" s="3">
        <f t="shared" si="2"/>
        <v>12.91793680981273</v>
      </c>
      <c r="AO59" s="3">
        <f t="shared" si="3"/>
        <v>8.100715068294722</v>
      </c>
    </row>
    <row r="60" spans="1:41" x14ac:dyDescent="0.3">
      <c r="A60" s="2">
        <v>39.557036120269572</v>
      </c>
      <c r="B60" s="2">
        <v>23.193651223646299</v>
      </c>
      <c r="C60" s="2">
        <v>18.731854312738889</v>
      </c>
      <c r="J60" s="10"/>
      <c r="K60" s="15"/>
      <c r="L60" s="15"/>
      <c r="M60" s="15"/>
      <c r="N60" s="5">
        <f t="shared" si="18"/>
        <v>0.10299999999999999</v>
      </c>
      <c r="O60" s="5">
        <f t="shared" si="19"/>
        <v>0.79141717127238143</v>
      </c>
      <c r="P60" s="5">
        <f t="shared" si="24"/>
        <v>0.78149999999999997</v>
      </c>
      <c r="Q60" s="29">
        <f t="shared" si="20"/>
        <v>9.9171712723814531E-3</v>
      </c>
      <c r="R60" s="29"/>
      <c r="X60" s="10"/>
      <c r="Y60" s="15"/>
      <c r="Z60" s="15"/>
      <c r="AA60" s="15"/>
      <c r="AB60" s="5">
        <f t="shared" si="21"/>
        <v>1.0500000000000001E-2</v>
      </c>
      <c r="AC60" s="5">
        <f t="shared" si="22"/>
        <v>1.8516576288811534E-2</v>
      </c>
      <c r="AD60" s="5">
        <f t="shared" si="25"/>
        <v>1.7500000000000002E-2</v>
      </c>
      <c r="AE60" s="29">
        <f t="shared" si="23"/>
        <v>1.0165762888115319E-3</v>
      </c>
      <c r="AF60" s="29"/>
      <c r="AN60" s="3">
        <f t="shared" si="2"/>
        <v>4.3201774971127991</v>
      </c>
      <c r="AO60" s="3">
        <f t="shared" si="3"/>
        <v>126.91134893704847</v>
      </c>
    </row>
    <row r="61" spans="1:41" x14ac:dyDescent="0.3">
      <c r="A61" s="2">
        <v>0.65821844754925896</v>
      </c>
      <c r="B61" s="2">
        <v>26.639036463082409</v>
      </c>
      <c r="C61" s="2">
        <v>24.438192456746322</v>
      </c>
      <c r="J61" s="10"/>
      <c r="K61" s="15"/>
      <c r="L61" s="15"/>
      <c r="M61" s="15"/>
      <c r="N61" s="5">
        <f t="shared" si="18"/>
        <v>6.0999999999999999E-2</v>
      </c>
      <c r="O61" s="5">
        <f t="shared" si="19"/>
        <v>0.85899031330428466</v>
      </c>
      <c r="P61" s="5">
        <f t="shared" si="24"/>
        <v>0.84250000000000003</v>
      </c>
      <c r="Q61" s="29">
        <f t="shared" si="20"/>
        <v>1.6490313304284632E-2</v>
      </c>
      <c r="R61" s="29"/>
      <c r="X61" s="10"/>
      <c r="Y61" s="15"/>
      <c r="Z61" s="15"/>
      <c r="AA61" s="15"/>
      <c r="AB61" s="5">
        <f t="shared" si="21"/>
        <v>2.1000000000000001E-2</v>
      </c>
      <c r="AC61" s="5">
        <f t="shared" si="22"/>
        <v>4.2619641979177912E-2</v>
      </c>
      <c r="AD61" s="5">
        <f t="shared" si="25"/>
        <v>3.8500000000000006E-2</v>
      </c>
      <c r="AE61" s="29">
        <f t="shared" si="23"/>
        <v>4.1196419791779057E-3</v>
      </c>
      <c r="AF61" s="29"/>
      <c r="AN61" s="3">
        <f t="shared" si="2"/>
        <v>1.8683652308423992</v>
      </c>
      <c r="AO61" s="3">
        <f t="shared" si="3"/>
        <v>30.9042108077469</v>
      </c>
    </row>
    <row r="62" spans="1:41" x14ac:dyDescent="0.3">
      <c r="A62" s="2">
        <v>7.5814285486745492</v>
      </c>
      <c r="B62" s="2">
        <v>16.90423651205737</v>
      </c>
      <c r="C62" s="2">
        <v>25.266161444500529</v>
      </c>
      <c r="J62" s="10"/>
      <c r="K62" s="15"/>
      <c r="L62" s="15"/>
      <c r="M62" s="15"/>
      <c r="N62" s="5">
        <f t="shared" si="18"/>
        <v>4.4499999999999998E-2</v>
      </c>
      <c r="O62" s="5">
        <f t="shared" si="19"/>
        <v>0.90467225004418106</v>
      </c>
      <c r="P62" s="5">
        <f t="shared" si="24"/>
        <v>0.88700000000000001</v>
      </c>
      <c r="Q62" s="29">
        <f t="shared" si="20"/>
        <v>1.7672250044181048E-2</v>
      </c>
      <c r="R62" s="29"/>
      <c r="X62" s="10"/>
      <c r="Y62" s="15"/>
      <c r="Z62" s="15"/>
      <c r="AA62" s="15"/>
      <c r="AB62" s="5">
        <f t="shared" si="21"/>
        <v>0.04</v>
      </c>
      <c r="AC62" s="5">
        <f t="shared" si="22"/>
        <v>8.7433698592005754E-2</v>
      </c>
      <c r="AD62" s="5">
        <f t="shared" si="25"/>
        <v>7.8500000000000014E-2</v>
      </c>
      <c r="AE62" s="29">
        <f t="shared" si="23"/>
        <v>8.9336985920057399E-3</v>
      </c>
      <c r="AF62" s="29"/>
      <c r="AN62" s="3">
        <f t="shared" si="2"/>
        <v>70.022058004335449</v>
      </c>
      <c r="AO62" s="3">
        <f t="shared" si="3"/>
        <v>22.384126609030755</v>
      </c>
    </row>
    <row r="63" spans="1:41" x14ac:dyDescent="0.3">
      <c r="A63" s="2">
        <v>33.765201148754777</v>
      </c>
      <c r="B63" s="2">
        <v>18.89688889709246</v>
      </c>
      <c r="C63" s="2">
        <v>34.187982669716838</v>
      </c>
      <c r="J63" s="10"/>
      <c r="K63" s="15"/>
      <c r="L63" s="15"/>
      <c r="M63" s="15"/>
      <c r="N63" s="5">
        <f t="shared" si="18"/>
        <v>4.1000000000000002E-2</v>
      </c>
      <c r="O63" s="5">
        <f t="shared" si="19"/>
        <v>0.93555492445530519</v>
      </c>
      <c r="P63" s="5">
        <f t="shared" si="24"/>
        <v>0.92800000000000005</v>
      </c>
      <c r="Q63" s="29">
        <f t="shared" si="20"/>
        <v>7.5549244553051453E-3</v>
      </c>
      <c r="R63" s="29"/>
      <c r="X63" s="10"/>
      <c r="Y63" s="15"/>
      <c r="Z63" s="15"/>
      <c r="AA63" s="15"/>
      <c r="AB63" s="5">
        <f t="shared" si="21"/>
        <v>7.1999999999999995E-2</v>
      </c>
      <c r="AC63" s="5">
        <f t="shared" si="22"/>
        <v>0.16050268061131698</v>
      </c>
      <c r="AD63" s="5">
        <f t="shared" si="25"/>
        <v>0.15050000000000002</v>
      </c>
      <c r="AE63" s="29">
        <f t="shared" si="23"/>
        <v>1.0002680611316955E-2</v>
      </c>
      <c r="AF63" s="29"/>
      <c r="AN63" s="3">
        <f t="shared" si="2"/>
        <v>40.644016498932366</v>
      </c>
      <c r="AO63" s="3">
        <f t="shared" si="3"/>
        <v>17.56141859305307</v>
      </c>
    </row>
    <row r="64" spans="1:41" x14ac:dyDescent="0.3">
      <c r="A64" s="2">
        <v>2.955964008307348</v>
      </c>
      <c r="B64" s="2">
        <v>10.11863814034467</v>
      </c>
      <c r="C64" s="2">
        <v>21.43006423051478</v>
      </c>
      <c r="J64" s="10"/>
      <c r="K64" s="15"/>
      <c r="L64" s="15"/>
      <c r="M64" s="15"/>
      <c r="N64" s="5">
        <f t="shared" si="18"/>
        <v>2.4500000000000001E-2</v>
      </c>
      <c r="O64" s="5">
        <f t="shared" si="19"/>
        <v>0.95643275159765884</v>
      </c>
      <c r="P64" s="5">
        <f t="shared" si="24"/>
        <v>0.95250000000000001</v>
      </c>
      <c r="Q64" s="29">
        <f t="shared" si="20"/>
        <v>3.9327515976588234E-3</v>
      </c>
      <c r="R64" s="29"/>
      <c r="X64" s="10"/>
      <c r="Y64" s="15"/>
      <c r="Z64" s="15"/>
      <c r="AA64" s="15"/>
      <c r="AB64" s="5">
        <f t="shared" si="21"/>
        <v>0.1085</v>
      </c>
      <c r="AC64" s="5">
        <f t="shared" si="22"/>
        <v>0.26498257585713647</v>
      </c>
      <c r="AD64" s="5">
        <f t="shared" si="25"/>
        <v>0.25900000000000001</v>
      </c>
      <c r="AE64" s="29">
        <f t="shared" si="23"/>
        <v>5.9825758571364629E-3</v>
      </c>
      <c r="AF64" s="29"/>
      <c r="AN64" s="3">
        <f t="shared" si="2"/>
        <v>229.62906992631679</v>
      </c>
      <c r="AO64" s="3">
        <f t="shared" si="3"/>
        <v>73.398351886024088</v>
      </c>
    </row>
    <row r="65" spans="1:41" x14ac:dyDescent="0.3">
      <c r="A65" s="2">
        <v>2.873641779585058</v>
      </c>
      <c r="B65" s="2">
        <v>21.288523712738591</v>
      </c>
      <c r="C65" s="2">
        <v>29.36813799507199</v>
      </c>
      <c r="J65" s="10"/>
      <c r="K65" s="15"/>
      <c r="L65" s="15"/>
      <c r="M65" s="15"/>
      <c r="N65" s="5">
        <f t="shared" si="18"/>
        <v>1.7000000000000001E-2</v>
      </c>
      <c r="O65" s="5">
        <f t="shared" si="19"/>
        <v>0.97054693291444905</v>
      </c>
      <c r="P65" s="5">
        <f t="shared" si="24"/>
        <v>0.96950000000000003</v>
      </c>
      <c r="Q65" s="29">
        <f t="shared" si="20"/>
        <v>1.0469329144490169E-3</v>
      </c>
      <c r="R65" s="29"/>
      <c r="X65" s="10"/>
      <c r="Y65" s="15"/>
      <c r="Z65" s="15"/>
      <c r="AA65" s="15"/>
      <c r="AB65" s="5">
        <f t="shared" si="21"/>
        <v>0.111</v>
      </c>
      <c r="AC65" s="5">
        <f t="shared" si="22"/>
        <v>0.39599613992833804</v>
      </c>
      <c r="AD65" s="5">
        <f t="shared" si="25"/>
        <v>0.37</v>
      </c>
      <c r="AE65" s="29">
        <f t="shared" si="23"/>
        <v>2.5996139928338047E-2</v>
      </c>
      <c r="AF65" s="29"/>
      <c r="AN65" s="3">
        <f t="shared" si="2"/>
        <v>15.869317368077084</v>
      </c>
      <c r="AO65" s="3">
        <f t="shared" si="3"/>
        <v>0.39590528164863265</v>
      </c>
    </row>
    <row r="66" spans="1:41" x14ac:dyDescent="0.3">
      <c r="A66" s="2">
        <v>14.342359675859671</v>
      </c>
      <c r="B66" s="2">
        <v>18.299525491606168</v>
      </c>
      <c r="C66" s="2">
        <v>34.018041917609537</v>
      </c>
      <c r="J66" s="10"/>
      <c r="K66" s="15"/>
      <c r="L66" s="15"/>
      <c r="M66" s="15"/>
      <c r="N66" s="5">
        <f t="shared" si="18"/>
        <v>0.01</v>
      </c>
      <c r="O66" s="5">
        <f t="shared" si="19"/>
        <v>0.98008864014695618</v>
      </c>
      <c r="P66" s="5">
        <f t="shared" si="24"/>
        <v>0.97950000000000004</v>
      </c>
      <c r="Q66" s="29">
        <f t="shared" si="20"/>
        <v>5.8864014695614308E-4</v>
      </c>
      <c r="R66" s="29"/>
      <c r="X66" s="10"/>
      <c r="Y66" s="15"/>
      <c r="Z66" s="15"/>
      <c r="AA66" s="15"/>
      <c r="AB66" s="5">
        <f t="shared" si="21"/>
        <v>0.14599999999999999</v>
      </c>
      <c r="AC66" s="5">
        <f t="shared" si="22"/>
        <v>0.54007012136896004</v>
      </c>
      <c r="AD66" s="5">
        <f t="shared" si="25"/>
        <v>0.51600000000000001</v>
      </c>
      <c r="AE66" s="29">
        <f t="shared" si="23"/>
        <v>2.4070121368960029E-2</v>
      </c>
      <c r="AF66" s="29"/>
      <c r="AN66" s="3">
        <f t="shared" si="2"/>
        <v>48.61756074769859</v>
      </c>
      <c r="AO66" s="3">
        <f t="shared" si="3"/>
        <v>16.165979250990773</v>
      </c>
    </row>
    <row r="67" spans="1:41" x14ac:dyDescent="0.3">
      <c r="A67" s="2">
        <v>3.5162564624883381</v>
      </c>
      <c r="B67" s="2">
        <v>23.610365477512559</v>
      </c>
      <c r="C67" s="2">
        <v>22.713876701872628</v>
      </c>
      <c r="J67" s="10"/>
      <c r="K67" s="15"/>
      <c r="L67" s="15"/>
      <c r="M67" s="15"/>
      <c r="N67" s="5">
        <f t="shared" si="18"/>
        <v>4.4999999999999997E-3</v>
      </c>
      <c r="O67" s="5">
        <f t="shared" si="19"/>
        <v>0.98653918622309111</v>
      </c>
      <c r="P67" s="5">
        <f t="shared" si="24"/>
        <v>0.98399999999999999</v>
      </c>
      <c r="Q67" s="29">
        <f t="shared" si="20"/>
        <v>2.5391862230911277E-3</v>
      </c>
      <c r="R67" s="29"/>
      <c r="X67" s="10"/>
      <c r="Y67" s="15"/>
      <c r="Z67" s="15"/>
      <c r="AA67" s="15"/>
      <c r="AB67" s="5">
        <f t="shared" si="21"/>
        <v>0.14299999999999999</v>
      </c>
      <c r="AC67" s="5">
        <f t="shared" si="22"/>
        <v>0.67901464051944016</v>
      </c>
      <c r="AD67" s="5">
        <f t="shared" si="25"/>
        <v>0.65900000000000003</v>
      </c>
      <c r="AE67" s="29">
        <f t="shared" si="23"/>
        <v>2.001464051944013E-2</v>
      </c>
      <c r="AF67" s="29"/>
      <c r="AN67" s="3">
        <f t="shared" ref="AN67:AN130" si="26">(B67-$AK$2)^2</f>
        <v>2.7615440563060125</v>
      </c>
      <c r="AO67" s="3">
        <f t="shared" ref="AO67:AO130" si="27">(C67-$AK$3)^2</f>
        <v>53.048954745018015</v>
      </c>
    </row>
    <row r="68" spans="1:41" x14ac:dyDescent="0.3">
      <c r="A68" s="2">
        <v>16.59690939777559</v>
      </c>
      <c r="B68" s="2">
        <v>20.200696962751142</v>
      </c>
      <c r="C68" s="2">
        <v>23.88437006385703</v>
      </c>
      <c r="J68" s="10"/>
      <c r="K68" s="15"/>
      <c r="L68" s="15"/>
      <c r="M68" s="15"/>
      <c r="N68" s="5">
        <f t="shared" si="18"/>
        <v>2E-3</v>
      </c>
      <c r="O68" s="5">
        <f t="shared" si="19"/>
        <v>0.99089999332672796</v>
      </c>
      <c r="P68" s="5">
        <f t="shared" si="24"/>
        <v>0.98599999999999999</v>
      </c>
      <c r="Q68" s="29">
        <f t="shared" si="20"/>
        <v>4.8999933267279694E-3</v>
      </c>
      <c r="R68" s="29"/>
      <c r="X68" s="10"/>
      <c r="Y68" s="15"/>
      <c r="Z68" s="15"/>
      <c r="AA68" s="15"/>
      <c r="AB68" s="5">
        <f t="shared" si="21"/>
        <v>0.128</v>
      </c>
      <c r="AC68" s="5">
        <f t="shared" si="22"/>
        <v>0.79652699877781874</v>
      </c>
      <c r="AD68" s="5">
        <f t="shared" si="25"/>
        <v>0.78700000000000003</v>
      </c>
      <c r="AE68" s="29">
        <f t="shared" si="23"/>
        <v>9.5269987778187071E-3</v>
      </c>
      <c r="AF68" s="29"/>
      <c r="AN68" s="3">
        <f t="shared" si="26"/>
        <v>25.719685522658551</v>
      </c>
      <c r="AO68" s="3">
        <f t="shared" si="27"/>
        <v>37.368499746624622</v>
      </c>
    </row>
    <row r="69" spans="1:41" x14ac:dyDescent="0.3">
      <c r="A69" s="2">
        <v>27.721686701309789</v>
      </c>
      <c r="B69" s="2">
        <v>21.69495099106204</v>
      </c>
      <c r="C69" s="2">
        <v>20.607560596970949</v>
      </c>
      <c r="J69" s="10"/>
      <c r="K69" s="15"/>
      <c r="L69" s="15"/>
      <c r="M69" s="15"/>
      <c r="N69" s="5">
        <f t="shared" si="18"/>
        <v>6.4999999999999997E-3</v>
      </c>
      <c r="O69" s="5">
        <f t="shared" si="19"/>
        <v>0.99384805979593516</v>
      </c>
      <c r="P69" s="5">
        <f t="shared" si="24"/>
        <v>0.99249999999999994</v>
      </c>
      <c r="Q69" s="29">
        <f t="shared" si="20"/>
        <v>1.3480597959352192E-3</v>
      </c>
      <c r="R69" s="29"/>
      <c r="X69" s="10"/>
      <c r="Y69" s="15"/>
      <c r="Z69" s="15"/>
      <c r="AA69" s="15"/>
      <c r="AB69" s="5">
        <f t="shared" si="21"/>
        <v>8.6999999999999994E-2</v>
      </c>
      <c r="AC69" s="5">
        <f t="shared" si="22"/>
        <v>0.88368565220520701</v>
      </c>
      <c r="AD69" s="5">
        <f t="shared" si="25"/>
        <v>0.874</v>
      </c>
      <c r="AE69" s="29">
        <f t="shared" si="23"/>
        <v>9.6856522052070071E-3</v>
      </c>
      <c r="AF69" s="29"/>
      <c r="AN69" s="3">
        <f t="shared" si="26"/>
        <v>12.796387745018576</v>
      </c>
      <c r="AO69" s="3">
        <f t="shared" si="27"/>
        <v>88.168108240343258</v>
      </c>
    </row>
    <row r="70" spans="1:41" x14ac:dyDescent="0.3">
      <c r="A70" s="2">
        <v>0.59323350659921514</v>
      </c>
      <c r="B70" s="2">
        <v>21.16577601019177</v>
      </c>
      <c r="C70" s="2">
        <v>31.168802032392211</v>
      </c>
      <c r="J70" s="10"/>
      <c r="K70" s="15"/>
      <c r="L70" s="15"/>
      <c r="M70" s="15"/>
      <c r="N70" s="5">
        <f t="shared" si="18"/>
        <v>3.0000000000000001E-3</v>
      </c>
      <c r="O70" s="5">
        <f t="shared" si="19"/>
        <v>0.99584106148124596</v>
      </c>
      <c r="P70" s="5">
        <f t="shared" si="24"/>
        <v>0.99549999999999994</v>
      </c>
      <c r="Q70" s="29">
        <f t="shared" si="20"/>
        <v>3.4106148124601887E-4</v>
      </c>
      <c r="R70" s="29"/>
      <c r="X70" s="10"/>
      <c r="Y70" s="15"/>
      <c r="Z70" s="15"/>
      <c r="AA70" s="15"/>
      <c r="AB70" s="5">
        <f t="shared" si="21"/>
        <v>5.3499999999999999E-2</v>
      </c>
      <c r="AC70" s="5">
        <f t="shared" si="22"/>
        <v>0.94037739729797798</v>
      </c>
      <c r="AD70" s="5">
        <f t="shared" si="25"/>
        <v>0.92749999999999999</v>
      </c>
      <c r="AE70" s="29">
        <f t="shared" si="23"/>
        <v>1.2877397297977988E-2</v>
      </c>
      <c r="AF70" s="29"/>
      <c r="AN70" s="3">
        <f t="shared" si="26"/>
        <v>16.862347516521353</v>
      </c>
      <c r="AO70" s="3">
        <f t="shared" si="27"/>
        <v>1.3723044544106433</v>
      </c>
    </row>
    <row r="71" spans="1:41" x14ac:dyDescent="0.3">
      <c r="A71" s="2">
        <v>19.403415826584951</v>
      </c>
      <c r="B71" s="2">
        <v>29.094185613429389</v>
      </c>
      <c r="C71" s="2">
        <v>30.26698202499723</v>
      </c>
      <c r="J71" s="10"/>
      <c r="K71" s="15"/>
      <c r="L71" s="15"/>
      <c r="M71" s="15"/>
      <c r="N71" s="5">
        <f t="shared" si="18"/>
        <v>1.5E-3</v>
      </c>
      <c r="O71" s="5">
        <f t="shared" si="19"/>
        <v>0.99718840414096566</v>
      </c>
      <c r="P71" s="5">
        <f t="shared" si="24"/>
        <v>0.99699999999999989</v>
      </c>
      <c r="Q71" s="29">
        <f t="shared" si="20"/>
        <v>1.8840414096576996E-4</v>
      </c>
      <c r="R71" s="29"/>
      <c r="X71" s="10"/>
      <c r="Y71" s="15"/>
      <c r="Z71" s="15"/>
      <c r="AA71" s="15"/>
      <c r="AB71" s="5">
        <f t="shared" si="21"/>
        <v>3.7499999999999999E-2</v>
      </c>
      <c r="AC71" s="5">
        <f t="shared" si="22"/>
        <v>0.97271500630980534</v>
      </c>
      <c r="AD71" s="5">
        <f t="shared" si="25"/>
        <v>0.96499999999999997</v>
      </c>
      <c r="AE71" s="29">
        <f t="shared" si="23"/>
        <v>7.7150063098053723E-3</v>
      </c>
      <c r="AF71" s="29"/>
      <c r="AN71" s="3">
        <f t="shared" si="26"/>
        <v>14.60791883968191</v>
      </c>
      <c r="AO71" s="3">
        <f t="shared" si="27"/>
        <v>7.2702485432534214E-2</v>
      </c>
    </row>
    <row r="72" spans="1:41" x14ac:dyDescent="0.3">
      <c r="A72" s="2">
        <v>3.4264612518121642</v>
      </c>
      <c r="B72" s="2">
        <v>22.22862854134263</v>
      </c>
      <c r="C72" s="2">
        <v>27.043390944046919</v>
      </c>
      <c r="J72" s="10"/>
      <c r="K72" s="15"/>
      <c r="L72" s="15"/>
      <c r="M72" s="15"/>
      <c r="N72" s="5">
        <f t="shared" si="18"/>
        <v>5.0000000000000001E-4</v>
      </c>
      <c r="O72" s="5">
        <f t="shared" si="19"/>
        <v>0.9980992574814721</v>
      </c>
      <c r="P72" s="5">
        <f t="shared" si="24"/>
        <v>0.99749999999999983</v>
      </c>
      <c r="Q72" s="29">
        <f t="shared" si="20"/>
        <v>5.9925748147227065E-4</v>
      </c>
      <c r="R72" s="29"/>
      <c r="X72" s="10"/>
      <c r="Y72" s="15"/>
      <c r="Z72" s="15"/>
      <c r="AA72" s="15"/>
      <c r="AB72" s="5">
        <f t="shared" si="21"/>
        <v>0.02</v>
      </c>
      <c r="AC72" s="5">
        <f t="shared" si="22"/>
        <v>0.9888909687921309</v>
      </c>
      <c r="AD72" s="5">
        <f t="shared" si="25"/>
        <v>0.98499999999999999</v>
      </c>
      <c r="AE72" s="29">
        <f t="shared" si="23"/>
        <v>3.8909687921309111E-3</v>
      </c>
      <c r="AF72" s="29"/>
      <c r="AN72" s="3">
        <f t="shared" si="26"/>
        <v>9.2630526438555254</v>
      </c>
      <c r="AO72" s="3">
        <f t="shared" si="27"/>
        <v>8.7258625294747354</v>
      </c>
    </row>
    <row r="73" spans="1:41" x14ac:dyDescent="0.3">
      <c r="A73" s="2">
        <v>2.1569885148017822</v>
      </c>
      <c r="B73" s="2">
        <v>27.019583933004359</v>
      </c>
      <c r="C73" s="2">
        <v>19.51604558392188</v>
      </c>
      <c r="J73" s="10"/>
      <c r="K73" s="15"/>
      <c r="L73" s="15"/>
      <c r="M73" s="15"/>
      <c r="N73" s="5">
        <f t="shared" si="18"/>
        <v>1E-3</v>
      </c>
      <c r="O73" s="5">
        <f t="shared" si="19"/>
        <v>0.99871502794040234</v>
      </c>
      <c r="P73" s="5">
        <f t="shared" si="24"/>
        <v>0.99849999999999983</v>
      </c>
      <c r="Q73" s="29">
        <f t="shared" si="20"/>
        <v>2.1502794040251239E-4</v>
      </c>
      <c r="R73" s="29"/>
      <c r="X73" s="10"/>
      <c r="Y73" s="15"/>
      <c r="Z73" s="15"/>
      <c r="AA73" s="15"/>
      <c r="AB73" s="5">
        <f t="shared" si="21"/>
        <v>9.4999999999999998E-3</v>
      </c>
      <c r="AC73" s="5">
        <f t="shared" si="22"/>
        <v>0.9959867607488917</v>
      </c>
      <c r="AD73" s="5">
        <f t="shared" si="25"/>
        <v>0.99449999999999994</v>
      </c>
      <c r="AE73" s="29">
        <f t="shared" si="23"/>
        <v>1.4867607488917578E-3</v>
      </c>
      <c r="AF73" s="29"/>
      <c r="AN73" s="3">
        <f t="shared" si="26"/>
        <v>3.0535082552344948</v>
      </c>
      <c r="AO73" s="3">
        <f t="shared" si="27"/>
        <v>109.85770119261909</v>
      </c>
    </row>
    <row r="74" spans="1:41" x14ac:dyDescent="0.3">
      <c r="A74" s="2">
        <v>7.4715098332546859E-2</v>
      </c>
      <c r="B74" s="2">
        <v>25.457518166921449</v>
      </c>
      <c r="C74" s="2">
        <v>26.155563285820829</v>
      </c>
      <c r="J74" s="10"/>
      <c r="K74" s="15"/>
      <c r="L74" s="15"/>
      <c r="M74" s="15"/>
      <c r="N74" s="5">
        <f>Q23</f>
        <v>0</v>
      </c>
      <c r="O74" s="5">
        <f t="shared" si="19"/>
        <v>0.99913131148598411</v>
      </c>
      <c r="P74" s="5">
        <f t="shared" si="24"/>
        <v>0.99849999999999983</v>
      </c>
      <c r="Q74" s="29">
        <f t="shared" si="20"/>
        <v>6.3131148598427611E-4</v>
      </c>
      <c r="R74" s="29"/>
      <c r="X74" s="10"/>
      <c r="Y74" s="15"/>
      <c r="Z74" s="15"/>
      <c r="AA74" s="15"/>
      <c r="AB74" s="5">
        <f>AE23</f>
        <v>3.5000000000000001E-3</v>
      </c>
      <c r="AC74" s="5">
        <f t="shared" si="22"/>
        <v>0.99871632640418995</v>
      </c>
      <c r="AD74" s="5">
        <f t="shared" si="25"/>
        <v>0.99799999999999989</v>
      </c>
      <c r="AE74" s="29">
        <f t="shared" si="23"/>
        <v>7.1632640419005966E-4</v>
      </c>
      <c r="AF74" s="29"/>
      <c r="AN74" s="3">
        <f t="shared" si="26"/>
        <v>3.435954388999423E-2</v>
      </c>
      <c r="AO74" s="3">
        <f t="shared" si="27"/>
        <v>14.759310103612277</v>
      </c>
    </row>
    <row r="75" spans="1:41" x14ac:dyDescent="0.3">
      <c r="A75" s="2">
        <v>22.75060062386958</v>
      </c>
      <c r="B75" s="2">
        <v>26.89185436978719</v>
      </c>
      <c r="C75" s="2">
        <v>22.274973018826849</v>
      </c>
      <c r="J75" s="10"/>
      <c r="K75" s="15"/>
      <c r="L75" s="15"/>
      <c r="M75" s="15"/>
      <c r="N75" s="7">
        <f>Q24</f>
        <v>0</v>
      </c>
      <c r="O75" s="5">
        <f t="shared" si="19"/>
        <v>0.99941273451920865</v>
      </c>
      <c r="P75" s="5">
        <f t="shared" si="24"/>
        <v>0.99849999999999983</v>
      </c>
      <c r="Q75" s="29">
        <f t="shared" si="20"/>
        <v>9.1273451920881321E-4</v>
      </c>
      <c r="R75" s="29"/>
      <c r="X75" s="10"/>
      <c r="Y75" s="15"/>
      <c r="Z75" s="15"/>
      <c r="AA75" s="15"/>
      <c r="AB75" s="5">
        <f t="shared" si="21"/>
        <v>1.5E-3</v>
      </c>
      <c r="AC75" s="5">
        <f t="shared" si="22"/>
        <v>0.99963707410847857</v>
      </c>
      <c r="AD75" s="5">
        <f t="shared" si="25"/>
        <v>0.99949999999999983</v>
      </c>
      <c r="AE75" s="29">
        <f t="shared" si="23"/>
        <v>1.370741084787408E-4</v>
      </c>
      <c r="AF75" s="29"/>
      <c r="AN75" s="3">
        <f t="shared" si="26"/>
        <v>2.6234264000950924</v>
      </c>
      <c r="AO75" s="3">
        <f t="shared" si="27"/>
        <v>59.63507598003887</v>
      </c>
    </row>
    <row r="76" spans="1:41" x14ac:dyDescent="0.3">
      <c r="A76" s="2">
        <v>3.2550253724437619</v>
      </c>
      <c r="B76" s="2">
        <v>29.301975024460589</v>
      </c>
      <c r="C76" s="2">
        <v>28.649816795071441</v>
      </c>
      <c r="J76" s="11"/>
      <c r="K76" s="17"/>
      <c r="L76" s="17"/>
      <c r="M76" s="17"/>
      <c r="N76" s="7">
        <f>Q25</f>
        <v>1.5E-3</v>
      </c>
      <c r="O76" s="5">
        <f t="shared" si="19"/>
        <v>0.99960298687116889</v>
      </c>
      <c r="P76" s="5">
        <f t="shared" si="24"/>
        <v>0.99999999999999978</v>
      </c>
      <c r="Q76" s="29">
        <f t="shared" si="20"/>
        <v>3.9701312883089201E-4</v>
      </c>
      <c r="R76" s="29"/>
      <c r="X76" s="11"/>
      <c r="Y76" s="17"/>
      <c r="Z76" s="17"/>
      <c r="AA76" s="17"/>
      <c r="AB76" s="5">
        <f t="shared" si="21"/>
        <v>5.0000000000000001E-4</v>
      </c>
      <c r="AC76" s="5">
        <f t="shared" si="22"/>
        <v>0.99990942814699524</v>
      </c>
      <c r="AD76" s="5">
        <f t="shared" si="25"/>
        <v>0.99999999999999978</v>
      </c>
      <c r="AE76" s="29">
        <f t="shared" si="23"/>
        <v>9.0571853004539626E-5</v>
      </c>
      <c r="AF76" s="29"/>
      <c r="AN76" s="3">
        <f t="shared" si="26"/>
        <v>16.239450304341165</v>
      </c>
      <c r="AO76" s="3">
        <f t="shared" si="27"/>
        <v>1.8158404582224468</v>
      </c>
    </row>
    <row r="77" spans="1:41" x14ac:dyDescent="0.3">
      <c r="A77" s="2">
        <v>1.818295094633728</v>
      </c>
      <c r="B77" s="2">
        <v>24.623322249617249</v>
      </c>
      <c r="C77" s="2">
        <v>44.116749373609771</v>
      </c>
      <c r="AN77" s="3">
        <f t="shared" si="26"/>
        <v>0.42098379711995326</v>
      </c>
      <c r="AO77" s="3">
        <f t="shared" si="27"/>
        <v>199.35749399686981</v>
      </c>
    </row>
    <row r="78" spans="1:41" x14ac:dyDescent="0.3">
      <c r="A78" s="2">
        <v>2.5368197717588452</v>
      </c>
      <c r="B78" s="2">
        <v>28.190344615504461</v>
      </c>
      <c r="C78" s="2">
        <v>21.429555032782758</v>
      </c>
      <c r="AN78" s="3">
        <f t="shared" si="26"/>
        <v>8.5158312655217916</v>
      </c>
      <c r="AO78" s="3">
        <f t="shared" si="27"/>
        <v>73.407077028277996</v>
      </c>
    </row>
    <row r="79" spans="1:41" x14ac:dyDescent="0.3">
      <c r="A79" s="2">
        <v>8.4478836336975949</v>
      </c>
      <c r="B79" s="2">
        <v>25.264978882261541</v>
      </c>
      <c r="C79" s="2">
        <v>30.27996064273842</v>
      </c>
      <c r="AN79" s="3">
        <f t="shared" si="26"/>
        <v>5.1495108008735169E-5</v>
      </c>
      <c r="AO79" s="3">
        <f t="shared" si="27"/>
        <v>7.9869882772792014E-2</v>
      </c>
    </row>
    <row r="80" spans="1:41" x14ac:dyDescent="0.3">
      <c r="A80" s="2">
        <v>9.4600558880792605</v>
      </c>
      <c r="B80" s="2">
        <v>28.727636054258149</v>
      </c>
      <c r="C80" s="2">
        <v>20.8277322005878</v>
      </c>
      <c r="AN80" s="3">
        <f t="shared" si="26"/>
        <v>11.940350066456519</v>
      </c>
      <c r="AO80" s="3">
        <f t="shared" si="27"/>
        <v>84.08185465712279</v>
      </c>
    </row>
    <row r="81" spans="1:41" x14ac:dyDescent="0.3">
      <c r="A81" s="2">
        <v>5.3115026346894831</v>
      </c>
      <c r="B81" s="2">
        <v>26.171863538537838</v>
      </c>
      <c r="C81" s="2">
        <v>37.473169948230932</v>
      </c>
      <c r="AN81" s="3">
        <f t="shared" si="26"/>
        <v>0.80947564962759089</v>
      </c>
      <c r="AO81" s="3">
        <f t="shared" si="27"/>
        <v>55.887913191581632</v>
      </c>
    </row>
    <row r="82" spans="1:41" x14ac:dyDescent="0.3">
      <c r="A82" s="2">
        <v>5.0957889247843724</v>
      </c>
      <c r="B82" s="2">
        <v>22.694699990101149</v>
      </c>
      <c r="C82" s="2">
        <v>32.938575932235871</v>
      </c>
      <c r="AN82" s="3">
        <f t="shared" si="26"/>
        <v>6.6432737685360221</v>
      </c>
      <c r="AO82" s="3">
        <f t="shared" si="27"/>
        <v>8.6508215093435261</v>
      </c>
    </row>
    <row r="83" spans="1:41" x14ac:dyDescent="0.3">
      <c r="A83" s="2">
        <v>3.3179832561013241</v>
      </c>
      <c r="B83" s="2">
        <v>29.654584743189211</v>
      </c>
      <c r="C83" s="2">
        <v>28.395942368171841</v>
      </c>
      <c r="AN83" s="3">
        <f t="shared" si="26"/>
        <v>19.205691405331976</v>
      </c>
      <c r="AO83" s="3">
        <f t="shared" si="27"/>
        <v>2.5645001283347781</v>
      </c>
    </row>
    <row r="84" spans="1:41" x14ac:dyDescent="0.3">
      <c r="A84" s="2">
        <v>4.7245774861277336</v>
      </c>
      <c r="B84" s="2">
        <v>21.387242985221789</v>
      </c>
      <c r="C84" s="2">
        <v>26.189928428656611</v>
      </c>
      <c r="AN84" s="3">
        <f t="shared" si="26"/>
        <v>15.092540519227279</v>
      </c>
      <c r="AO84" s="3">
        <f t="shared" si="27"/>
        <v>14.496444102955829</v>
      </c>
    </row>
    <row r="85" spans="1:41" x14ac:dyDescent="0.3">
      <c r="A85" s="2">
        <v>1.3314331325196049</v>
      </c>
      <c r="B85" s="2">
        <v>31.286421896613199</v>
      </c>
      <c r="C85" s="2">
        <v>12.257657407845629</v>
      </c>
      <c r="AN85" s="3">
        <f t="shared" si="26"/>
        <v>36.17140760928082</v>
      </c>
      <c r="AO85" s="3">
        <f t="shared" si="27"/>
        <v>314.69662375303017</v>
      </c>
    </row>
    <row r="86" spans="1:41" x14ac:dyDescent="0.3">
      <c r="A86" s="2">
        <v>20.80227622652259</v>
      </c>
      <c r="B86" s="2">
        <v>25.91295934302067</v>
      </c>
      <c r="C86" s="2">
        <v>33.989123310308763</v>
      </c>
      <c r="AN86" s="3">
        <f t="shared" si="26"/>
        <v>0.41063034514065277</v>
      </c>
      <c r="AO86" s="3">
        <f t="shared" si="27"/>
        <v>15.934269802238992</v>
      </c>
    </row>
    <row r="87" spans="1:41" x14ac:dyDescent="0.3">
      <c r="A87" s="2">
        <v>9.7494666781482469</v>
      </c>
      <c r="B87" s="2">
        <v>25.09846138557754</v>
      </c>
      <c r="C87" s="2">
        <v>31.390604337203008</v>
      </c>
      <c r="AN87" s="3">
        <f t="shared" si="26"/>
        <v>3.0169433985555511E-2</v>
      </c>
      <c r="AO87" s="3">
        <f t="shared" si="27"/>
        <v>1.9411631074586819</v>
      </c>
    </row>
    <row r="88" spans="1:41" x14ac:dyDescent="0.3">
      <c r="A88" s="2">
        <v>5.0906642934783806</v>
      </c>
      <c r="B88" s="2">
        <v>10.473349994695701</v>
      </c>
      <c r="C88" s="2">
        <v>20.83483072540076</v>
      </c>
      <c r="AN88" s="3">
        <f t="shared" si="26"/>
        <v>219.00462637247927</v>
      </c>
      <c r="AO88" s="3">
        <f t="shared" si="27"/>
        <v>83.951723555043145</v>
      </c>
    </row>
    <row r="89" spans="1:41" x14ac:dyDescent="0.3">
      <c r="A89" s="2">
        <v>19.633727518260841</v>
      </c>
      <c r="B89" s="2">
        <v>19.954447283900819</v>
      </c>
      <c r="C89" s="2">
        <v>32.244624787400873</v>
      </c>
      <c r="AN89" s="3">
        <f t="shared" si="26"/>
        <v>28.278014199487131</v>
      </c>
      <c r="AO89" s="3">
        <f t="shared" si="27"/>
        <v>5.0502527758001898</v>
      </c>
    </row>
    <row r="90" spans="1:41" x14ac:dyDescent="0.3">
      <c r="A90" s="2">
        <v>4.5058698910880439</v>
      </c>
      <c r="B90" s="2">
        <v>19.9071656974028</v>
      </c>
      <c r="C90" s="2">
        <v>30.697464625065599</v>
      </c>
      <c r="AN90" s="3">
        <f t="shared" si="26"/>
        <v>28.783109052344827</v>
      </c>
      <c r="AO90" s="3">
        <f t="shared" si="27"/>
        <v>0.4901632315597374</v>
      </c>
    </row>
    <row r="91" spans="1:41" x14ac:dyDescent="0.3">
      <c r="A91" s="2">
        <v>3.8295383699570902</v>
      </c>
      <c r="B91" s="2">
        <v>30.077668639641391</v>
      </c>
      <c r="C91" s="2">
        <v>29.464450091157861</v>
      </c>
      <c r="AN91" s="3">
        <f t="shared" si="26"/>
        <v>23.092962383965475</v>
      </c>
      <c r="AO91" s="3">
        <f t="shared" si="27"/>
        <v>0.28398022473583467</v>
      </c>
    </row>
    <row r="92" spans="1:41" x14ac:dyDescent="0.3">
      <c r="A92" s="2">
        <v>25.057837378832339</v>
      </c>
      <c r="B92" s="2">
        <v>23.710576219723212</v>
      </c>
      <c r="C92" s="2">
        <v>31.475121700434979</v>
      </c>
      <c r="AN92" s="3">
        <f t="shared" si="26"/>
        <v>2.438527948021572</v>
      </c>
      <c r="AO92" s="3">
        <f t="shared" si="27"/>
        <v>2.1838149891025314</v>
      </c>
    </row>
    <row r="93" spans="1:41" x14ac:dyDescent="0.3">
      <c r="A93" s="2">
        <v>0.6761627387074004</v>
      </c>
      <c r="B93" s="2">
        <v>25.544951765703889</v>
      </c>
      <c r="C93" s="2">
        <v>29.623240417541151</v>
      </c>
      <c r="AN93" s="3">
        <f t="shared" si="26"/>
        <v>7.441813459752615E-2</v>
      </c>
      <c r="AO93" s="3">
        <f t="shared" si="27"/>
        <v>0.13995651378251839</v>
      </c>
    </row>
    <row r="94" spans="1:41" x14ac:dyDescent="0.3">
      <c r="A94" s="2">
        <v>2.8563237279075371</v>
      </c>
      <c r="B94" s="2">
        <v>33.651145145575143</v>
      </c>
      <c r="C94" s="2">
        <v>36.325627011453747</v>
      </c>
      <c r="AN94" s="3">
        <f t="shared" si="26"/>
        <v>70.207477678565454</v>
      </c>
      <c r="AO94" s="3">
        <f t="shared" si="27"/>
        <v>40.047114730382361</v>
      </c>
    </row>
    <row r="95" spans="1:41" x14ac:dyDescent="0.3">
      <c r="A95" s="2">
        <v>1.0562869777621271</v>
      </c>
      <c r="B95" s="2">
        <v>25.332428644268699</v>
      </c>
      <c r="C95" s="2">
        <v>35.935304655734413</v>
      </c>
      <c r="AN95" s="3">
        <f t="shared" si="26"/>
        <v>3.6329252777082253E-3</v>
      </c>
      <c r="AO95" s="3">
        <f t="shared" si="27"/>
        <v>35.259328760809488</v>
      </c>
    </row>
    <row r="96" spans="1:41" x14ac:dyDescent="0.3">
      <c r="A96" s="2">
        <v>12.67302743100108</v>
      </c>
      <c r="B96" s="2">
        <v>31.52399840221155</v>
      </c>
      <c r="C96" s="2">
        <v>30.164573623202561</v>
      </c>
      <c r="AN96" s="3">
        <f t="shared" si="26"/>
        <v>39.085547282932914</v>
      </c>
      <c r="AO96" s="3">
        <f t="shared" si="27"/>
        <v>2.7964395408921892E-2</v>
      </c>
    </row>
    <row r="97" spans="1:41" x14ac:dyDescent="0.3">
      <c r="A97" s="2">
        <v>12.146634849125631</v>
      </c>
      <c r="B97" s="2">
        <v>27.285813804313399</v>
      </c>
      <c r="C97" s="2">
        <v>29.857082108517162</v>
      </c>
      <c r="AN97" s="3">
        <f t="shared" si="26"/>
        <v>4.0548222173160742</v>
      </c>
      <c r="AO97" s="3">
        <f t="shared" si="27"/>
        <v>1.9674531759973728E-2</v>
      </c>
    </row>
    <row r="98" spans="1:41" x14ac:dyDescent="0.3">
      <c r="A98" s="2">
        <v>1.4840788710622661</v>
      </c>
      <c r="B98" s="2">
        <v>29.855182527011969</v>
      </c>
      <c r="C98" s="2">
        <v>35.568484925874287</v>
      </c>
      <c r="AN98" s="3">
        <f t="shared" si="26"/>
        <v>21.004142308237945</v>
      </c>
      <c r="AO98" s="3">
        <f t="shared" si="27"/>
        <v>31.03756619220346</v>
      </c>
    </row>
    <row r="99" spans="1:41" x14ac:dyDescent="0.3">
      <c r="A99" s="2">
        <v>21.922515672299589</v>
      </c>
      <c r="B99" s="2">
        <v>10.86355481536193</v>
      </c>
      <c r="C99" s="2">
        <v>32.262688601827072</v>
      </c>
      <c r="AN99" s="3">
        <f t="shared" si="26"/>
        <v>207.607756152918</v>
      </c>
      <c r="AO99" s="3">
        <f t="shared" si="27"/>
        <v>5.131767857421532</v>
      </c>
    </row>
    <row r="100" spans="1:41" x14ac:dyDescent="0.3">
      <c r="A100" s="2">
        <v>2.5449191215601901</v>
      </c>
      <c r="B100" s="2">
        <v>21.8592931552094</v>
      </c>
      <c r="C100" s="2">
        <v>23.573184343492649</v>
      </c>
      <c r="AN100" s="3">
        <f t="shared" si="26"/>
        <v>11.647625230759832</v>
      </c>
      <c r="AO100" s="3">
        <f t="shared" si="27"/>
        <v>41.269879209838294</v>
      </c>
    </row>
    <row r="101" spans="1:41" x14ac:dyDescent="0.3">
      <c r="A101" s="2">
        <v>1.080762443131134</v>
      </c>
      <c r="B101" s="2">
        <v>24.437781444751131</v>
      </c>
      <c r="C101" s="2">
        <v>31.503575826800649</v>
      </c>
      <c r="AN101" s="3">
        <f t="shared" si="26"/>
        <v>0.69617904857195045</v>
      </c>
      <c r="AO101" s="3">
        <f t="shared" si="27"/>
        <v>2.2687221433118268</v>
      </c>
    </row>
    <row r="102" spans="1:41" x14ac:dyDescent="0.3">
      <c r="A102" s="2">
        <v>26.44705591008659</v>
      </c>
      <c r="B102" s="2">
        <v>33.061445240764968</v>
      </c>
      <c r="C102" s="2">
        <v>30.602925735933422</v>
      </c>
      <c r="AN102" s="3">
        <f t="shared" si="26"/>
        <v>60.673044145783791</v>
      </c>
      <c r="AO102" s="3">
        <f t="shared" si="27"/>
        <v>0.36672434483965388</v>
      </c>
    </row>
    <row r="103" spans="1:41" x14ac:dyDescent="0.3">
      <c r="A103" s="2">
        <v>3.1220517052751462</v>
      </c>
      <c r="B103" s="2">
        <v>26.000160528138331</v>
      </c>
      <c r="C103" s="2">
        <v>36.823061416187599</v>
      </c>
      <c r="AN103" s="3">
        <f t="shared" si="26"/>
        <v>0.52999220703619532</v>
      </c>
      <c r="AO103" s="3">
        <f t="shared" si="27"/>
        <v>46.590363082906244</v>
      </c>
    </row>
    <row r="104" spans="1:41" x14ac:dyDescent="0.3">
      <c r="A104" s="2">
        <v>5.0216924071410718</v>
      </c>
      <c r="B104" s="2">
        <v>27.030582794699079</v>
      </c>
      <c r="C104" s="2">
        <v>36.47286775064012</v>
      </c>
      <c r="AN104" s="3">
        <f t="shared" si="26"/>
        <v>3.0920686908916526</v>
      </c>
      <c r="AO104" s="3">
        <f t="shared" si="27"/>
        <v>41.932355512490943</v>
      </c>
    </row>
    <row r="105" spans="1:41" x14ac:dyDescent="0.3">
      <c r="A105" s="2">
        <v>9.7796738427523309</v>
      </c>
      <c r="B105" s="2">
        <v>18.590925990683768</v>
      </c>
      <c r="C105" s="2">
        <v>24.603268115149191</v>
      </c>
      <c r="AN105" s="3">
        <f t="shared" si="26"/>
        <v>44.638819624560469</v>
      </c>
      <c r="AO105" s="3">
        <f t="shared" si="27"/>
        <v>29.096098244339796</v>
      </c>
    </row>
    <row r="106" spans="1:41" x14ac:dyDescent="0.3">
      <c r="A106" s="2">
        <v>2.230638047721639</v>
      </c>
      <c r="B106" s="2">
        <v>24.198081620233399</v>
      </c>
      <c r="C106" s="2">
        <v>37.280946101151407</v>
      </c>
      <c r="AN106" s="3">
        <f t="shared" si="26"/>
        <v>1.1536333919622697</v>
      </c>
      <c r="AO106" s="3">
        <f t="shared" si="27"/>
        <v>53.050800704713247</v>
      </c>
    </row>
    <row r="107" spans="1:41" x14ac:dyDescent="0.3">
      <c r="A107" s="2">
        <v>20.52493253282255</v>
      </c>
      <c r="B107" s="2">
        <v>27.18040978977977</v>
      </c>
      <c r="C107" s="2">
        <v>29.496331845736901</v>
      </c>
      <c r="AN107" s="3">
        <f t="shared" si="26"/>
        <v>3.6414367569634227</v>
      </c>
      <c r="AO107" s="3">
        <f t="shared" si="27"/>
        <v>0.25101722771836293</v>
      </c>
    </row>
    <row r="108" spans="1:41" x14ac:dyDescent="0.3">
      <c r="A108" s="2">
        <v>13.630609891505451</v>
      </c>
      <c r="B108" s="2">
        <v>18.72280157036149</v>
      </c>
      <c r="C108" s="2">
        <v>38.104769907541133</v>
      </c>
      <c r="AN108" s="3">
        <f t="shared" si="26"/>
        <v>42.894028924577121</v>
      </c>
      <c r="AO108" s="3">
        <f t="shared" si="27"/>
        <v>65.730289325266043</v>
      </c>
    </row>
    <row r="109" spans="1:41" x14ac:dyDescent="0.3">
      <c r="A109" s="2">
        <v>3.9545072534743859</v>
      </c>
      <c r="B109" s="2">
        <v>23.395032377205741</v>
      </c>
      <c r="C109" s="2">
        <v>30.876086300614169</v>
      </c>
      <c r="AN109" s="3">
        <f t="shared" si="26"/>
        <v>3.5235889335182358</v>
      </c>
      <c r="AO109" s="3">
        <f t="shared" si="27"/>
        <v>0.77218092925622273</v>
      </c>
    </row>
    <row r="110" spans="1:41" x14ac:dyDescent="0.3">
      <c r="A110" s="2">
        <v>0.96330993290393985</v>
      </c>
      <c r="B110" s="2">
        <v>26.592761758784729</v>
      </c>
      <c r="C110" s="2">
        <v>35.232127310386588</v>
      </c>
      <c r="AN110" s="3">
        <f t="shared" si="26"/>
        <v>1.7440024980266375</v>
      </c>
      <c r="AO110" s="3">
        <f t="shared" si="27"/>
        <v>27.402914001263635</v>
      </c>
    </row>
    <row r="111" spans="1:41" x14ac:dyDescent="0.3">
      <c r="A111" s="2">
        <v>30.079273837655059</v>
      </c>
      <c r="B111" s="2">
        <v>26.20118641968169</v>
      </c>
      <c r="C111" s="2">
        <v>24.192740935566569</v>
      </c>
      <c r="AN111" s="3">
        <f t="shared" si="26"/>
        <v>0.86309958043091672</v>
      </c>
      <c r="AO111" s="3">
        <f t="shared" si="27"/>
        <v>33.693463646159536</v>
      </c>
    </row>
    <row r="112" spans="1:41" x14ac:dyDescent="0.3">
      <c r="A112" s="2">
        <v>13.294155841303191</v>
      </c>
      <c r="B112" s="2">
        <v>25.250774041967379</v>
      </c>
      <c r="C112" s="2">
        <v>28.900523500227031</v>
      </c>
      <c r="AN112" s="3">
        <f t="shared" si="26"/>
        <v>4.5714072500339399E-4</v>
      </c>
      <c r="AO112" s="3">
        <f t="shared" si="27"/>
        <v>1.2030240728093593</v>
      </c>
    </row>
    <row r="113" spans="1:41" x14ac:dyDescent="0.3">
      <c r="A113" s="2">
        <v>2.958174665469083</v>
      </c>
      <c r="B113" s="2">
        <v>23.91522935507091</v>
      </c>
      <c r="C113" s="2">
        <v>30.750790544500418</v>
      </c>
      <c r="AN113" s="3">
        <f t="shared" si="26"/>
        <v>1.841246911303378</v>
      </c>
      <c r="AO113" s="3">
        <f t="shared" si="27"/>
        <v>0.56767560637805814</v>
      </c>
    </row>
    <row r="114" spans="1:41" x14ac:dyDescent="0.3">
      <c r="A114" s="2">
        <v>0.7651743613907549</v>
      </c>
      <c r="B114" s="2">
        <v>25.329237058506571</v>
      </c>
      <c r="C114" s="2">
        <v>29.048843760775259</v>
      </c>
      <c r="AN114" s="3">
        <f t="shared" si="26"/>
        <v>3.2583737947933342E-3</v>
      </c>
      <c r="AO114" s="3">
        <f t="shared" si="27"/>
        <v>0.89966036923066073</v>
      </c>
    </row>
    <row r="115" spans="1:41" x14ac:dyDescent="0.3">
      <c r="A115" s="2">
        <v>22.291041467606679</v>
      </c>
      <c r="B115" s="2">
        <v>28.410836251894882</v>
      </c>
      <c r="C115" s="2">
        <v>32.66023622111036</v>
      </c>
      <c r="AN115" s="3">
        <f t="shared" si="26"/>
        <v>9.8513206823446957</v>
      </c>
      <c r="AO115" s="3">
        <f t="shared" si="27"/>
        <v>7.0909734608214325</v>
      </c>
    </row>
    <row r="116" spans="1:41" x14ac:dyDescent="0.3">
      <c r="A116" s="2">
        <v>4.2489614800533726</v>
      </c>
      <c r="B116" s="2">
        <v>26.414152456274071</v>
      </c>
      <c r="C116" s="2">
        <v>33.906689172609212</v>
      </c>
      <c r="AN116" s="3">
        <f t="shared" si="26"/>
        <v>1.3041584380424813</v>
      </c>
      <c r="AO116" s="3">
        <f t="shared" si="27"/>
        <v>15.282948084833039</v>
      </c>
    </row>
    <row r="117" spans="1:41" x14ac:dyDescent="0.3">
      <c r="A117" s="2">
        <v>12.25403398816033</v>
      </c>
      <c r="B117" s="2">
        <v>30.136062039774909</v>
      </c>
      <c r="C117" s="2">
        <v>24.84728674633087</v>
      </c>
      <c r="AN117" s="3">
        <f t="shared" si="26"/>
        <v>23.657592747434045</v>
      </c>
      <c r="AO117" s="3">
        <f t="shared" si="27"/>
        <v>26.523131336818427</v>
      </c>
    </row>
    <row r="118" spans="1:41" x14ac:dyDescent="0.3">
      <c r="A118" s="2">
        <v>1.1733979417659961</v>
      </c>
      <c r="B118" s="2">
        <v>28.46226691444781</v>
      </c>
      <c r="C118" s="2">
        <v>28.995472296666492</v>
      </c>
      <c r="AN118" s="3">
        <f t="shared" si="26"/>
        <v>10.176814719214766</v>
      </c>
      <c r="AO118" s="3">
        <f t="shared" si="27"/>
        <v>1.0037550066887846</v>
      </c>
    </row>
    <row r="119" spans="1:41" x14ac:dyDescent="0.3">
      <c r="A119" s="2">
        <v>7.8665117400030651</v>
      </c>
      <c r="B119" s="2">
        <v>26.65019155842813</v>
      </c>
      <c r="C119" s="2">
        <v>35.15098676608725</v>
      </c>
      <c r="AN119" s="3">
        <f t="shared" si="26"/>
        <v>1.8989850555100976</v>
      </c>
      <c r="AO119" s="3">
        <f t="shared" si="27"/>
        <v>26.559992110751001</v>
      </c>
    </row>
    <row r="120" spans="1:41" x14ac:dyDescent="0.3">
      <c r="A120" s="2">
        <v>0.53147674937012934</v>
      </c>
      <c r="B120" s="2">
        <v>27.1503729906185</v>
      </c>
      <c r="C120" s="2">
        <v>30.472918745586231</v>
      </c>
      <c r="AN120" s="3">
        <f t="shared" si="26"/>
        <v>3.5277032280085661</v>
      </c>
      <c r="AO120" s="3">
        <f t="shared" si="27"/>
        <v>0.22616749524816029</v>
      </c>
    </row>
    <row r="121" spans="1:41" x14ac:dyDescent="0.3">
      <c r="A121" s="2">
        <v>16.317374642958779</v>
      </c>
      <c r="B121" s="2">
        <v>26.161026994883731</v>
      </c>
      <c r="C121" s="2">
        <v>26.894415475602479</v>
      </c>
      <c r="AN121" s="3">
        <f t="shared" si="26"/>
        <v>0.79009361624587215</v>
      </c>
      <c r="AO121" s="3">
        <f t="shared" si="27"/>
        <v>9.6281905041809654</v>
      </c>
    </row>
    <row r="122" spans="1:41" x14ac:dyDescent="0.3">
      <c r="A122" s="2">
        <v>12.96765880415016</v>
      </c>
      <c r="B122" s="2">
        <v>30.108599511083501</v>
      </c>
      <c r="C122" s="2">
        <v>36.446187448286629</v>
      </c>
      <c r="AN122" s="3">
        <f t="shared" si="26"/>
        <v>23.39119655869025</v>
      </c>
      <c r="AO122" s="3">
        <f t="shared" si="27"/>
        <v>41.58752970351572</v>
      </c>
    </row>
    <row r="123" spans="1:41" x14ac:dyDescent="0.3">
      <c r="A123" s="2">
        <v>16.05261545323263</v>
      </c>
      <c r="B123" s="2">
        <v>16.38559070521319</v>
      </c>
      <c r="C123" s="2">
        <v>27.775550147661601</v>
      </c>
      <c r="AN123" s="3">
        <f t="shared" si="26"/>
        <v>78.971023036274985</v>
      </c>
      <c r="AO123" s="3">
        <f t="shared" si="27"/>
        <v>4.9363858779668988</v>
      </c>
    </row>
    <row r="124" spans="1:41" x14ac:dyDescent="0.3">
      <c r="A124" s="2">
        <v>18.15362363658199</v>
      </c>
      <c r="B124" s="2">
        <v>24.73711633070188</v>
      </c>
      <c r="C124" s="2">
        <v>33.597060205611832</v>
      </c>
      <c r="AN124" s="3">
        <f t="shared" si="26"/>
        <v>0.28626626149755124</v>
      </c>
      <c r="AO124" s="3">
        <f t="shared" si="27"/>
        <v>12.95792766947376</v>
      </c>
    </row>
    <row r="125" spans="1:41" x14ac:dyDescent="0.3">
      <c r="A125" s="2">
        <v>9.9640071998144784</v>
      </c>
      <c r="B125" s="2">
        <v>27.301849866149151</v>
      </c>
      <c r="C125" s="2">
        <v>31.392131546995252</v>
      </c>
      <c r="AN125" s="3">
        <f t="shared" si="26"/>
        <v>4.1196616902805525</v>
      </c>
      <c r="AO125" s="3">
        <f t="shared" si="27"/>
        <v>1.9454210291463656</v>
      </c>
    </row>
    <row r="126" spans="1:41" x14ac:dyDescent="0.3">
      <c r="A126" s="2">
        <v>28.362072091744171</v>
      </c>
      <c r="B126" s="2">
        <v>25.355927711159161</v>
      </c>
      <c r="C126" s="2">
        <v>32.251520136143981</v>
      </c>
      <c r="AN126" s="3">
        <f t="shared" si="26"/>
        <v>7.0178853204372295E-3</v>
      </c>
      <c r="AO126" s="3">
        <f t="shared" si="27"/>
        <v>5.0812918354146168</v>
      </c>
    </row>
    <row r="127" spans="1:41" x14ac:dyDescent="0.3">
      <c r="A127" s="2">
        <v>4.1797151825343608</v>
      </c>
      <c r="B127" s="2">
        <v>30.933388413690711</v>
      </c>
      <c r="C127" s="2">
        <v>33.454469534699207</v>
      </c>
      <c r="AN127" s="3">
        <f t="shared" si="26"/>
        <v>32.04956499323476</v>
      </c>
      <c r="AO127" s="3">
        <f t="shared" si="27"/>
        <v>11.951689023560171</v>
      </c>
    </row>
    <row r="128" spans="1:41" x14ac:dyDescent="0.3">
      <c r="A128" s="2">
        <v>4.300579028892396</v>
      </c>
      <c r="B128" s="2">
        <v>25.354786501372299</v>
      </c>
      <c r="C128" s="2">
        <v>24.659406747423191</v>
      </c>
      <c r="AN128" s="3">
        <f t="shared" si="26"/>
        <v>6.8279829567862013E-3</v>
      </c>
      <c r="AO128" s="3">
        <f t="shared" si="27"/>
        <v>28.493617251567727</v>
      </c>
    </row>
    <row r="129" spans="1:41" x14ac:dyDescent="0.3">
      <c r="A129" s="2">
        <v>29.182364209049819</v>
      </c>
      <c r="B129" s="2">
        <v>21.571767753176591</v>
      </c>
      <c r="C129" s="2">
        <v>30.32034399706124</v>
      </c>
      <c r="AN129" s="3">
        <f t="shared" si="26"/>
        <v>13.692864973169344</v>
      </c>
      <c r="AO129" s="3">
        <f t="shared" si="27"/>
        <v>0.10432638775927089</v>
      </c>
    </row>
    <row r="130" spans="1:41" x14ac:dyDescent="0.3">
      <c r="A130" s="2">
        <v>15.50517622959039</v>
      </c>
      <c r="B130" s="2">
        <v>26.200913734916821</v>
      </c>
      <c r="C130" s="2">
        <v>26.142922440397701</v>
      </c>
      <c r="AN130" s="3">
        <f t="shared" si="26"/>
        <v>0.86259298930023842</v>
      </c>
      <c r="AO130" s="3">
        <f t="shared" si="27"/>
        <v>14.856596709058605</v>
      </c>
    </row>
    <row r="131" spans="1:41" x14ac:dyDescent="0.3">
      <c r="A131" s="2">
        <v>8.2419241166928661</v>
      </c>
      <c r="B131" s="2">
        <v>26.357825179670868</v>
      </c>
      <c r="C131" s="2">
        <v>33.123993974423954</v>
      </c>
      <c r="AN131" s="3">
        <f t="shared" ref="AN131:AN194" si="28">(B131-$AK$2)^2</f>
        <v>1.1786799747050243</v>
      </c>
      <c r="AO131" s="3">
        <f t="shared" ref="AO131:AO194" si="29">(C131-$AK$3)^2</f>
        <v>9.775914794229374</v>
      </c>
    </row>
    <row r="132" spans="1:41" x14ac:dyDescent="0.3">
      <c r="A132" s="2">
        <v>9.6207110118014221</v>
      </c>
      <c r="B132" s="2">
        <v>22.726455590699061</v>
      </c>
      <c r="C132" s="2">
        <v>30.291831805118381</v>
      </c>
      <c r="AN132" s="3">
        <f t="shared" si="28"/>
        <v>6.4805849298920286</v>
      </c>
      <c r="AO132" s="3">
        <f t="shared" si="29"/>
        <v>8.672068744544438E-2</v>
      </c>
    </row>
    <row r="133" spans="1:41" x14ac:dyDescent="0.3">
      <c r="A133" s="2">
        <v>19.400377038147969</v>
      </c>
      <c r="B133" s="2">
        <v>25.558782248233459</v>
      </c>
      <c r="C133" s="2">
        <v>26.698461618908901</v>
      </c>
      <c r="AN133" s="3">
        <f t="shared" si="28"/>
        <v>8.2155241651244715E-2</v>
      </c>
      <c r="AO133" s="3">
        <f t="shared" si="29"/>
        <v>10.882651624556271</v>
      </c>
    </row>
    <row r="134" spans="1:41" x14ac:dyDescent="0.3">
      <c r="A134" s="2">
        <v>7.8884740064925376</v>
      </c>
      <c r="B134" s="2">
        <v>30.152928212485691</v>
      </c>
      <c r="C134" s="2">
        <v>29.228858848960488</v>
      </c>
      <c r="AN134" s="3">
        <f t="shared" si="28"/>
        <v>23.821948211241338</v>
      </c>
      <c r="AO134" s="3">
        <f t="shared" si="29"/>
        <v>0.5905756379785283</v>
      </c>
    </row>
    <row r="135" spans="1:41" x14ac:dyDescent="0.3">
      <c r="A135" s="2">
        <v>53.9755033132598</v>
      </c>
      <c r="B135" s="2">
        <v>27.576909220064479</v>
      </c>
      <c r="C135" s="2">
        <v>38.764950203946633</v>
      </c>
      <c r="AN135" s="3">
        <f t="shared" si="28"/>
        <v>5.3118925152235335</v>
      </c>
      <c r="AO135" s="3">
        <f t="shared" si="29"/>
        <v>76.870847691163519</v>
      </c>
    </row>
    <row r="136" spans="1:41" x14ac:dyDescent="0.3">
      <c r="A136" s="2">
        <v>16.921723963081309</v>
      </c>
      <c r="B136" s="2">
        <v>27.77483908608297</v>
      </c>
      <c r="C136" s="2">
        <v>25.560396547766931</v>
      </c>
      <c r="AN136" s="3">
        <f t="shared" si="28"/>
        <v>6.2634281780182848</v>
      </c>
      <c r="AO136" s="3">
        <f t="shared" si="29"/>
        <v>19.686538551553681</v>
      </c>
    </row>
    <row r="137" spans="1:41" x14ac:dyDescent="0.3">
      <c r="A137" s="2">
        <v>22.661289203633061</v>
      </c>
      <c r="B137" s="2">
        <v>27.837289005920109</v>
      </c>
      <c r="C137" s="2">
        <v>36.620567792195601</v>
      </c>
      <c r="AN137" s="3">
        <f t="shared" si="28"/>
        <v>6.5799130251697742</v>
      </c>
      <c r="AO137" s="3">
        <f t="shared" si="29"/>
        <v>43.867039875239037</v>
      </c>
    </row>
    <row r="138" spans="1:41" x14ac:dyDescent="0.3">
      <c r="A138" s="2">
        <v>0.95808971020879086</v>
      </c>
      <c r="B138" s="2">
        <v>28.897456910056921</v>
      </c>
      <c r="C138" s="2">
        <v>12.88544059508693</v>
      </c>
      <c r="AN138" s="3">
        <f t="shared" si="28"/>
        <v>13.14281472604676</v>
      </c>
      <c r="AO138" s="3">
        <f t="shared" si="29"/>
        <v>292.81737643074797</v>
      </c>
    </row>
    <row r="139" spans="1:41" x14ac:dyDescent="0.3">
      <c r="A139" s="2">
        <v>13.281286224540141</v>
      </c>
      <c r="B139" s="2">
        <v>26.536656711197519</v>
      </c>
      <c r="C139" s="2">
        <v>22.191852999318531</v>
      </c>
      <c r="AN139" s="3">
        <f t="shared" si="28"/>
        <v>1.5989648521208422</v>
      </c>
      <c r="AO139" s="3">
        <f t="shared" si="29"/>
        <v>60.925752842636314</v>
      </c>
    </row>
    <row r="140" spans="1:41" x14ac:dyDescent="0.3">
      <c r="A140" s="2">
        <v>13.596554681716761</v>
      </c>
      <c r="B140" s="2">
        <v>21.041113760094142</v>
      </c>
      <c r="C140" s="2">
        <v>30.093595294923009</v>
      </c>
      <c r="AN140" s="3">
        <f t="shared" si="28"/>
        <v>17.901709055305187</v>
      </c>
      <c r="AO140" s="3">
        <f t="shared" si="29"/>
        <v>9.2635339256702288E-3</v>
      </c>
    </row>
    <row r="141" spans="1:41" x14ac:dyDescent="0.3">
      <c r="A141" s="2">
        <v>18.23466645732023</v>
      </c>
      <c r="B141" s="2">
        <v>19.855958548057579</v>
      </c>
      <c r="C141" s="2">
        <v>30.52402268702054</v>
      </c>
      <c r="AN141" s="3">
        <f t="shared" si="28"/>
        <v>29.335182830279997</v>
      </c>
      <c r="AO141" s="3">
        <f t="shared" si="29"/>
        <v>0.27738618296852785</v>
      </c>
    </row>
    <row r="142" spans="1:41" x14ac:dyDescent="0.3">
      <c r="A142" s="2">
        <v>3.6337125761257179</v>
      </c>
      <c r="B142" s="2">
        <v>20.434097372620901</v>
      </c>
      <c r="C142" s="2">
        <v>27.526934253060961</v>
      </c>
      <c r="AN142" s="3">
        <f t="shared" si="28"/>
        <v>23.406800555590397</v>
      </c>
      <c r="AO142" s="3">
        <f t="shared" si="29"/>
        <v>6.1029442826652325</v>
      </c>
    </row>
    <row r="143" spans="1:41" x14ac:dyDescent="0.3">
      <c r="A143" s="2">
        <v>7.2767523144673909</v>
      </c>
      <c r="B143" s="2">
        <v>22.252460795742721</v>
      </c>
      <c r="C143" s="2">
        <v>35.416681164595772</v>
      </c>
      <c r="AN143" s="3">
        <f t="shared" si="28"/>
        <v>9.1185524317065862</v>
      </c>
      <c r="AO143" s="3">
        <f t="shared" si="29"/>
        <v>29.369171506639137</v>
      </c>
    </row>
    <row r="144" spans="1:41" x14ac:dyDescent="0.3">
      <c r="A144" s="2">
        <v>1.4191201068663359</v>
      </c>
      <c r="B144" s="2">
        <v>27.518844172341151</v>
      </c>
      <c r="C144" s="2">
        <v>21.66333904398331</v>
      </c>
      <c r="AN144" s="3">
        <f t="shared" si="28"/>
        <v>5.0476127248286504</v>
      </c>
      <c r="AO144" s="3">
        <f t="shared" si="29"/>
        <v>69.455705959069064</v>
      </c>
    </row>
    <row r="145" spans="1:41" x14ac:dyDescent="0.3">
      <c r="A145" s="2">
        <v>0.73307713204992986</v>
      </c>
      <c r="B145" s="2">
        <v>20.208822437219968</v>
      </c>
      <c r="C145" s="2">
        <v>30.051606872187239</v>
      </c>
      <c r="AN145" s="3">
        <f t="shared" si="28"/>
        <v>25.637335542155</v>
      </c>
      <c r="AO145" s="3">
        <f t="shared" si="29"/>
        <v>2.9440207831994392E-3</v>
      </c>
    </row>
    <row r="146" spans="1:41" x14ac:dyDescent="0.3">
      <c r="A146" s="2">
        <v>2.1029723044428992</v>
      </c>
      <c r="B146" s="2">
        <v>25.408510421136569</v>
      </c>
      <c r="C146" s="2">
        <v>30.130907585825909</v>
      </c>
      <c r="AN146" s="3">
        <f t="shared" si="28"/>
        <v>1.8592830473522611E-2</v>
      </c>
      <c r="AO146" s="3">
        <f t="shared" si="29"/>
        <v>1.78381520667662E-2</v>
      </c>
    </row>
    <row r="147" spans="1:41" x14ac:dyDescent="0.3">
      <c r="A147" s="2">
        <v>14.75547951283834</v>
      </c>
      <c r="B147" s="2">
        <v>28.35019562699166</v>
      </c>
      <c r="C147" s="2">
        <v>22.28198007158695</v>
      </c>
      <c r="AN147" s="3">
        <f t="shared" si="28"/>
        <v>9.4743347695955524</v>
      </c>
      <c r="AO147" s="3">
        <f t="shared" si="29"/>
        <v>59.526902900402696</v>
      </c>
    </row>
    <row r="148" spans="1:41" x14ac:dyDescent="0.3">
      <c r="A148" s="2">
        <v>15.630057964237841</v>
      </c>
      <c r="B148" s="2">
        <v>14.93601617437408</v>
      </c>
      <c r="C148" s="2">
        <v>25.91399405798235</v>
      </c>
      <c r="AN148" s="3">
        <f t="shared" si="28"/>
        <v>106.83576357883157</v>
      </c>
      <c r="AO148" s="3">
        <f t="shared" si="29"/>
        <v>16.673779749016049</v>
      </c>
    </row>
    <row r="149" spans="1:41" x14ac:dyDescent="0.3">
      <c r="A149" s="2">
        <v>10.374476860396969</v>
      </c>
      <c r="B149" s="2">
        <v>21.0310904662608</v>
      </c>
      <c r="C149" s="2">
        <v>33.82721592884873</v>
      </c>
      <c r="AN149" s="3">
        <f t="shared" si="28"/>
        <v>17.986627458685717</v>
      </c>
      <c r="AO149" s="3">
        <f t="shared" si="29"/>
        <v>14.667888039885</v>
      </c>
    </row>
    <row r="150" spans="1:41" x14ac:dyDescent="0.3">
      <c r="A150" s="2">
        <v>14.558983672652721</v>
      </c>
      <c r="B150" s="2">
        <v>26.911119519661611</v>
      </c>
      <c r="C150" s="2">
        <v>23.74613513682872</v>
      </c>
      <c r="AN150" s="3">
        <f t="shared" si="28"/>
        <v>2.6862050524977867</v>
      </c>
      <c r="AO150" s="3">
        <f t="shared" si="29"/>
        <v>39.077662770812701</v>
      </c>
    </row>
    <row r="151" spans="1:41" x14ac:dyDescent="0.3">
      <c r="A151" s="2">
        <v>0.30795271776549599</v>
      </c>
      <c r="B151" s="2">
        <v>22.324866896996451</v>
      </c>
      <c r="C151" s="2">
        <v>32.742054390813927</v>
      </c>
      <c r="AN151" s="3">
        <f t="shared" si="28"/>
        <v>8.6865065223058391</v>
      </c>
      <c r="AO151" s="3">
        <f t="shared" si="29"/>
        <v>7.5334129477911187</v>
      </c>
    </row>
    <row r="152" spans="1:41" x14ac:dyDescent="0.3">
      <c r="A152" s="2">
        <v>2.3876009614391451</v>
      </c>
      <c r="B152" s="2">
        <v>26.178642819623089</v>
      </c>
      <c r="C152" s="2">
        <v>37.513151735138223</v>
      </c>
      <c r="AN152" s="3">
        <f t="shared" si="28"/>
        <v>0.82172036390637393</v>
      </c>
      <c r="AO152" s="3">
        <f t="shared" si="29"/>
        <v>56.487305171785216</v>
      </c>
    </row>
    <row r="153" spans="1:41" x14ac:dyDescent="0.3">
      <c r="A153" s="2">
        <v>9.26073394665789</v>
      </c>
      <c r="B153" s="2">
        <v>15.70273384897804</v>
      </c>
      <c r="C153" s="2">
        <v>30.527859157599639</v>
      </c>
      <c r="AN153" s="3">
        <f t="shared" si="28"/>
        <v>91.573819088286342</v>
      </c>
      <c r="AO153" s="3">
        <f t="shared" si="29"/>
        <v>0.28144204504497522</v>
      </c>
    </row>
    <row r="154" spans="1:41" x14ac:dyDescent="0.3">
      <c r="A154" s="2">
        <v>4.0188502787190314</v>
      </c>
      <c r="B154" s="2">
        <v>31.454425227939549</v>
      </c>
      <c r="C154" s="2">
        <v>34.571324116029892</v>
      </c>
      <c r="AN154" s="3">
        <f t="shared" si="28"/>
        <v>38.220466513321526</v>
      </c>
      <c r="AO154" s="3">
        <f t="shared" si="29"/>
        <v>20.921257136749361</v>
      </c>
    </row>
    <row r="155" spans="1:41" x14ac:dyDescent="0.3">
      <c r="A155" s="2">
        <v>4.8013841620435018</v>
      </c>
      <c r="B155" s="2">
        <v>25.637649038448611</v>
      </c>
      <c r="C155" s="2">
        <v>34.22253551649824</v>
      </c>
      <c r="AN155" s="3">
        <f t="shared" si="28"/>
        <v>0.13358597148332099</v>
      </c>
      <c r="AO155" s="3">
        <f t="shared" si="29"/>
        <v>17.852209204773171</v>
      </c>
    </row>
    <row r="156" spans="1:41" x14ac:dyDescent="0.3">
      <c r="A156" s="2">
        <v>26.55248067091868</v>
      </c>
      <c r="B156" s="2">
        <v>29.564130949036048</v>
      </c>
      <c r="C156" s="2">
        <v>31.031263858222161</v>
      </c>
      <c r="AN156" s="3">
        <f t="shared" si="28"/>
        <v>18.4210584788106</v>
      </c>
      <c r="AO156" s="3">
        <f t="shared" si="29"/>
        <v>1.068981917509839</v>
      </c>
    </row>
    <row r="157" spans="1:41" x14ac:dyDescent="0.3">
      <c r="A157" s="2">
        <v>46.918569696690888</v>
      </c>
      <c r="B157" s="2">
        <v>32.42957588319782</v>
      </c>
      <c r="C157" s="2">
        <v>36.980793046371687</v>
      </c>
      <c r="AN157" s="3">
        <f t="shared" si="28"/>
        <v>51.228675252976814</v>
      </c>
      <c r="AO157" s="3">
        <f t="shared" si="29"/>
        <v>48.768504145804314</v>
      </c>
    </row>
    <row r="158" spans="1:41" x14ac:dyDescent="0.3">
      <c r="A158" s="2">
        <v>7.9068979308373546</v>
      </c>
      <c r="B158" s="2">
        <v>33.384078093930412</v>
      </c>
      <c r="C158" s="2">
        <v>30.232806056229489</v>
      </c>
      <c r="AN158" s="3">
        <f t="shared" si="28"/>
        <v>65.803298042786452</v>
      </c>
      <c r="AO158" s="3">
        <f t="shared" si="29"/>
        <v>5.5440477028650542E-2</v>
      </c>
    </row>
    <row r="159" spans="1:41" x14ac:dyDescent="0.3">
      <c r="A159" s="2">
        <v>6.3048899403017593</v>
      </c>
      <c r="B159" s="2">
        <v>21.28872311716373</v>
      </c>
      <c r="C159" s="2">
        <v>36.600687755832169</v>
      </c>
      <c r="AN159" s="3">
        <f t="shared" si="28"/>
        <v>15.867728700468893</v>
      </c>
      <c r="AO159" s="3">
        <f t="shared" si="29"/>
        <v>43.604095392083472</v>
      </c>
    </row>
    <row r="160" spans="1:41" x14ac:dyDescent="0.3">
      <c r="A160" s="2">
        <v>2.1435967316154878</v>
      </c>
      <c r="B160" s="2">
        <v>27.522589416972352</v>
      </c>
      <c r="C160" s="2">
        <v>32.615722445557701</v>
      </c>
      <c r="AN160" s="3">
        <f t="shared" si="28"/>
        <v>5.0644555536203963</v>
      </c>
      <c r="AO160" s="3">
        <f t="shared" si="29"/>
        <v>6.8558845234753116</v>
      </c>
    </row>
    <row r="161" spans="1:41" x14ac:dyDescent="0.3">
      <c r="A161" s="2">
        <v>18.236978955461801</v>
      </c>
      <c r="B161" s="2">
        <v>21.89823780045165</v>
      </c>
      <c r="C161" s="2">
        <v>32.369500454185243</v>
      </c>
      <c r="AN161" s="3">
        <f t="shared" si="28"/>
        <v>11.383316536994661</v>
      </c>
      <c r="AO161" s="3">
        <f t="shared" si="29"/>
        <v>5.6271070723159031</v>
      </c>
    </row>
    <row r="162" spans="1:41" x14ac:dyDescent="0.3">
      <c r="A162" s="2">
        <v>7.3108516851732217</v>
      </c>
      <c r="B162" s="2">
        <v>25.22381004545305</v>
      </c>
      <c r="C162" s="2">
        <v>36.001877581424672</v>
      </c>
      <c r="AN162" s="3">
        <f t="shared" si="28"/>
        <v>2.3372241353843536E-3</v>
      </c>
      <c r="AO162" s="3">
        <f t="shared" si="29"/>
        <v>36.054375004200097</v>
      </c>
    </row>
    <row r="163" spans="1:41" x14ac:dyDescent="0.3">
      <c r="A163" s="2">
        <v>7.3059154787115617</v>
      </c>
      <c r="B163" s="2">
        <v>28.470557349700108</v>
      </c>
      <c r="C163" s="2">
        <v>29.16071832116322</v>
      </c>
      <c r="AN163" s="3">
        <f t="shared" si="28"/>
        <v>10.229778284879767</v>
      </c>
      <c r="AO163" s="3">
        <f t="shared" si="29"/>
        <v>0.69994928778428878</v>
      </c>
    </row>
    <row r="164" spans="1:41" x14ac:dyDescent="0.3">
      <c r="A164" s="2">
        <v>11.39909528202538</v>
      </c>
      <c r="B164" s="2">
        <v>26.82003099122748</v>
      </c>
      <c r="C164" s="2">
        <v>30.759676595227781</v>
      </c>
      <c r="AN164" s="3">
        <f t="shared" si="28"/>
        <v>2.3959204202330304</v>
      </c>
      <c r="AO164" s="3">
        <f t="shared" si="29"/>
        <v>0.58114482489160224</v>
      </c>
    </row>
    <row r="165" spans="1:41" x14ac:dyDescent="0.3">
      <c r="A165" s="2">
        <v>12.217560736203071</v>
      </c>
      <c r="B165" s="2">
        <v>22.362139183387459</v>
      </c>
      <c r="C165" s="2">
        <v>29.102687016875318</v>
      </c>
      <c r="AN165" s="3">
        <f t="shared" si="28"/>
        <v>8.4681914212258391</v>
      </c>
      <c r="AO165" s="3">
        <f t="shared" si="29"/>
        <v>0.80041834773506182</v>
      </c>
    </row>
    <row r="166" spans="1:41" x14ac:dyDescent="0.3">
      <c r="A166" s="2">
        <v>19.92560366028016</v>
      </c>
      <c r="B166" s="2">
        <v>23.505085858598569</v>
      </c>
      <c r="C166" s="2">
        <v>35.415814185443743</v>
      </c>
      <c r="AN166" s="3">
        <f t="shared" si="28"/>
        <v>3.1225329668959532</v>
      </c>
      <c r="AO166" s="3">
        <f t="shared" si="29"/>
        <v>29.35977536061953</v>
      </c>
    </row>
    <row r="167" spans="1:41" x14ac:dyDescent="0.3">
      <c r="A167" s="2">
        <v>5.6733953031672009</v>
      </c>
      <c r="B167" s="2">
        <v>23.344220133736918</v>
      </c>
      <c r="C167" s="2">
        <v>35.795279267176021</v>
      </c>
      <c r="AN167" s="3">
        <f t="shared" si="28"/>
        <v>3.7169324300347077</v>
      </c>
      <c r="AO167" s="3">
        <f t="shared" si="29"/>
        <v>33.616006505753084</v>
      </c>
    </row>
    <row r="168" spans="1:41" x14ac:dyDescent="0.3">
      <c r="A168" s="2">
        <v>1.6442477170596499</v>
      </c>
      <c r="B168" s="2">
        <v>21.038792891001609</v>
      </c>
      <c r="C168" s="2">
        <v>35.922009745399187</v>
      </c>
      <c r="AN168" s="3">
        <f t="shared" si="28"/>
        <v>17.921353826920566</v>
      </c>
      <c r="AO168" s="3">
        <f t="shared" si="29"/>
        <v>35.101616313910355</v>
      </c>
    </row>
    <row r="169" spans="1:41" x14ac:dyDescent="0.3">
      <c r="A169" s="2">
        <v>3.530191761573759</v>
      </c>
      <c r="B169" s="2">
        <v>24.399098426316499</v>
      </c>
      <c r="C169" s="2">
        <v>37.154759033949652</v>
      </c>
      <c r="AN169" s="3">
        <f t="shared" si="28"/>
        <v>0.76222759132793716</v>
      </c>
      <c r="AO169" s="3">
        <f t="shared" si="29"/>
        <v>51.228532124818678</v>
      </c>
    </row>
    <row r="170" spans="1:41" x14ac:dyDescent="0.3">
      <c r="A170" s="2">
        <v>4.9871831563649964</v>
      </c>
      <c r="B170" s="2">
        <v>27.093449500825979</v>
      </c>
      <c r="C170" s="2">
        <v>27.433107488866749</v>
      </c>
      <c r="AN170" s="3">
        <f t="shared" si="28"/>
        <v>3.3171140541075119</v>
      </c>
      <c r="AO170" s="3">
        <f t="shared" si="29"/>
        <v>6.5753296081935648</v>
      </c>
    </row>
    <row r="171" spans="1:41" x14ac:dyDescent="0.3">
      <c r="A171" s="2">
        <v>3.1497423812595882</v>
      </c>
      <c r="B171" s="2">
        <v>21.121286560993259</v>
      </c>
      <c r="C171" s="2">
        <v>33.462859897386913</v>
      </c>
      <c r="AN171" s="3">
        <f t="shared" si="28"/>
        <v>17.229707896867342</v>
      </c>
      <c r="AO171" s="3">
        <f t="shared" si="29"/>
        <v>12.009772428124711</v>
      </c>
    </row>
    <row r="172" spans="1:41" x14ac:dyDescent="0.3">
      <c r="A172" s="2">
        <v>15.186836908168321</v>
      </c>
      <c r="B172" s="2">
        <v>27.27743569787334</v>
      </c>
      <c r="C172" s="2">
        <v>33.805108471784372</v>
      </c>
      <c r="AN172" s="3">
        <f t="shared" si="28"/>
        <v>4.0211511125718671</v>
      </c>
      <c r="AO172" s="3">
        <f t="shared" si="29"/>
        <v>14.499039499748577</v>
      </c>
    </row>
    <row r="173" spans="1:41" x14ac:dyDescent="0.3">
      <c r="A173" s="2">
        <v>3.9193199751673951</v>
      </c>
      <c r="B173" s="2">
        <v>24.907654577255169</v>
      </c>
      <c r="C173" s="2">
        <v>25.97097883027298</v>
      </c>
      <c r="AN173" s="3">
        <f t="shared" si="28"/>
        <v>0.13286047905503306</v>
      </c>
      <c r="AO173" s="3">
        <f t="shared" si="29"/>
        <v>16.211649019502943</v>
      </c>
    </row>
    <row r="174" spans="1:41" x14ac:dyDescent="0.3">
      <c r="A174" s="2">
        <v>3.8821841068926899</v>
      </c>
      <c r="B174" s="2">
        <v>25.66262921558808</v>
      </c>
      <c r="C174" s="2">
        <v>32.264495937067757</v>
      </c>
      <c r="AN174" s="3">
        <f t="shared" si="28"/>
        <v>0.15247019780369578</v>
      </c>
      <c r="AO174" s="3">
        <f t="shared" si="29"/>
        <v>5.1399595835383867</v>
      </c>
    </row>
    <row r="175" spans="1:41" x14ac:dyDescent="0.3">
      <c r="A175" s="2">
        <v>2.7996974910321031</v>
      </c>
      <c r="B175" s="2">
        <v>28.544935390309529</v>
      </c>
      <c r="C175" s="2">
        <v>32.040642781773293</v>
      </c>
      <c r="AN175" s="3">
        <f t="shared" si="28"/>
        <v>10.711092193653252</v>
      </c>
      <c r="AO175" s="3">
        <f t="shared" si="29"/>
        <v>4.1750533984774654</v>
      </c>
    </row>
    <row r="176" spans="1:41" x14ac:dyDescent="0.3">
      <c r="A176" s="2">
        <v>3.9082185990675611</v>
      </c>
      <c r="B176" s="2">
        <v>32.81014699598952</v>
      </c>
      <c r="C176" s="2">
        <v>37.255141795647013</v>
      </c>
      <c r="AN176" s="3">
        <f t="shared" si="28"/>
        <v>56.821324967957395</v>
      </c>
      <c r="AO176" s="3">
        <f t="shared" si="29"/>
        <v>52.675570187854916</v>
      </c>
    </row>
    <row r="177" spans="1:41" x14ac:dyDescent="0.3">
      <c r="A177" s="2">
        <v>9.7090182567400376</v>
      </c>
      <c r="B177" s="2">
        <v>34.231136985140033</v>
      </c>
      <c r="C177" s="2">
        <v>29.95858529735272</v>
      </c>
      <c r="AN177" s="3">
        <f t="shared" si="28"/>
        <v>80.263360154888986</v>
      </c>
      <c r="AO177" s="3">
        <f t="shared" si="29"/>
        <v>1.5025502797807407E-3</v>
      </c>
    </row>
    <row r="178" spans="1:41" x14ac:dyDescent="0.3">
      <c r="A178" s="2">
        <v>4.4519880795122786</v>
      </c>
      <c r="B178" s="2">
        <v>28.362643043022111</v>
      </c>
      <c r="C178" s="2">
        <v>26.82987795151335</v>
      </c>
      <c r="AN178" s="3">
        <f t="shared" si="28"/>
        <v>9.5511170149490763</v>
      </c>
      <c r="AO178" s="3">
        <f t="shared" si="29"/>
        <v>10.032866766543645</v>
      </c>
    </row>
    <row r="179" spans="1:41" x14ac:dyDescent="0.3">
      <c r="A179" s="2">
        <v>5.5466148400807089</v>
      </c>
      <c r="B179" s="2">
        <v>25.539126129893461</v>
      </c>
      <c r="C179" s="2">
        <v>31.082312104511779</v>
      </c>
      <c r="AN179" s="3">
        <f t="shared" si="28"/>
        <v>7.1273642150979616E-2</v>
      </c>
      <c r="AO179" s="3">
        <f t="shared" si="29"/>
        <v>1.1771470195397893</v>
      </c>
    </row>
    <row r="180" spans="1:41" x14ac:dyDescent="0.3">
      <c r="A180" s="2">
        <v>26.971288596786991</v>
      </c>
      <c r="B180" s="2">
        <v>22.83446631345441</v>
      </c>
      <c r="C180" s="2">
        <v>35.681055360726759</v>
      </c>
      <c r="AN180" s="3">
        <f t="shared" si="28"/>
        <v>5.9423256033363243</v>
      </c>
      <c r="AO180" s="3">
        <f t="shared" si="29"/>
        <v>32.304528898556612</v>
      </c>
    </row>
    <row r="181" spans="1:41" x14ac:dyDescent="0.3">
      <c r="A181" s="2">
        <v>3.0787260456352579</v>
      </c>
      <c r="B181" s="2">
        <v>25.128049490419048</v>
      </c>
      <c r="C181" s="2">
        <v>23.037633965517831</v>
      </c>
      <c r="AN181" s="3">
        <f t="shared" si="28"/>
        <v>2.0766366609020322E-2</v>
      </c>
      <c r="AO181" s="3">
        <f t="shared" si="29"/>
        <v>48.437620009720433</v>
      </c>
    </row>
    <row r="182" spans="1:41" x14ac:dyDescent="0.3">
      <c r="A182" s="2">
        <v>4.8341798159056131</v>
      </c>
      <c r="B182" s="2">
        <v>28.73198203976284</v>
      </c>
      <c r="C182" s="2">
        <v>28.864135984657452</v>
      </c>
      <c r="AN182" s="3">
        <f t="shared" si="28"/>
        <v>11.970403896137043</v>
      </c>
      <c r="AO182" s="3">
        <f t="shared" si="29"/>
        <v>1.2841695641932847</v>
      </c>
    </row>
    <row r="183" spans="1:41" x14ac:dyDescent="0.3">
      <c r="A183" s="2">
        <v>18.982264818994029</v>
      </c>
      <c r="B183" s="2">
        <v>23.877827895098989</v>
      </c>
      <c r="C183" s="2">
        <v>33.051116957264163</v>
      </c>
      <c r="AN183" s="3">
        <f t="shared" si="28"/>
        <v>1.9441477727796377</v>
      </c>
      <c r="AO183" s="3">
        <f t="shared" si="29"/>
        <v>9.3255045951452953</v>
      </c>
    </row>
    <row r="184" spans="1:41" x14ac:dyDescent="0.3">
      <c r="A184" s="2">
        <v>3.7605233519332808</v>
      </c>
      <c r="B184" s="2">
        <v>27.3215811630571</v>
      </c>
      <c r="C184" s="2">
        <v>30.976540967623709</v>
      </c>
      <c r="AN184" s="3">
        <f t="shared" si="28"/>
        <v>4.2001480427145701</v>
      </c>
      <c r="AO184" s="3">
        <f t="shared" si="29"/>
        <v>0.95881878793599751</v>
      </c>
    </row>
    <row r="185" spans="1:41" x14ac:dyDescent="0.3">
      <c r="A185" s="2">
        <v>39.4389943985652</v>
      </c>
      <c r="B185" s="2">
        <v>28.716800639864839</v>
      </c>
      <c r="C185" s="2">
        <v>37.506119517961352</v>
      </c>
      <c r="AN185" s="3">
        <f t="shared" si="28"/>
        <v>11.865584332007199</v>
      </c>
      <c r="AO185" s="3">
        <f t="shared" si="29"/>
        <v>56.381649096189051</v>
      </c>
    </row>
    <row r="186" spans="1:41" x14ac:dyDescent="0.3">
      <c r="A186" s="2">
        <v>4.5648513189434858</v>
      </c>
      <c r="B186" s="2">
        <v>30.54236421057492</v>
      </c>
      <c r="C186" s="2">
        <v>20.330673276544552</v>
      </c>
      <c r="AN186" s="3">
        <f t="shared" si="28"/>
        <v>27.775106267291353</v>
      </c>
      <c r="AO186" s="3">
        <f t="shared" si="29"/>
        <v>93.444600997948257</v>
      </c>
    </row>
    <row r="187" spans="1:41" x14ac:dyDescent="0.3">
      <c r="A187" s="2">
        <v>4.7801243956659176</v>
      </c>
      <c r="B187" s="2">
        <v>26.724651706293539</v>
      </c>
      <c r="C187" s="2">
        <v>29.262269531255878</v>
      </c>
      <c r="AN187" s="3">
        <f t="shared" si="28"/>
        <v>2.10974699710312</v>
      </c>
      <c r="AO187" s="3">
        <f t="shared" si="29"/>
        <v>0.54034041519779952</v>
      </c>
    </row>
    <row r="188" spans="1:41" x14ac:dyDescent="0.3">
      <c r="A188" s="2">
        <v>5.464479823967805</v>
      </c>
      <c r="B188" s="2">
        <v>26.774989296134169</v>
      </c>
      <c r="C188" s="2">
        <v>37.400653164325789</v>
      </c>
      <c r="AN188" s="3">
        <f t="shared" si="28"/>
        <v>2.2585112478739626</v>
      </c>
      <c r="AO188" s="3">
        <f t="shared" si="29"/>
        <v>54.80892675198097</v>
      </c>
    </row>
    <row r="189" spans="1:41" x14ac:dyDescent="0.3">
      <c r="A189" s="2">
        <v>6.002255147483111</v>
      </c>
      <c r="B189" s="2">
        <v>23.213761560721839</v>
      </c>
      <c r="C189" s="2">
        <v>30.973541263109091</v>
      </c>
      <c r="AN189" s="3">
        <f t="shared" si="28"/>
        <v>4.2369831040251533</v>
      </c>
      <c r="AO189" s="3">
        <f t="shared" si="29"/>
        <v>0.95295320727663912</v>
      </c>
    </row>
    <row r="190" spans="1:41" x14ac:dyDescent="0.3">
      <c r="A190" s="2">
        <v>1.4470851936555309</v>
      </c>
      <c r="B190" s="2">
        <v>26.188043300541171</v>
      </c>
      <c r="C190" s="2">
        <v>28.053528886023962</v>
      </c>
      <c r="AN190" s="3">
        <f t="shared" si="28"/>
        <v>0.83885157789021214</v>
      </c>
      <c r="AO190" s="3">
        <f t="shared" si="29"/>
        <v>3.778432906485317</v>
      </c>
    </row>
    <row r="191" spans="1:41" x14ac:dyDescent="0.3">
      <c r="A191" s="2">
        <v>16.665569936902379</v>
      </c>
      <c r="B191" s="2">
        <v>33.064951439912598</v>
      </c>
      <c r="C191" s="2">
        <v>32.004938197004734</v>
      </c>
      <c r="AN191" s="3">
        <f t="shared" si="28"/>
        <v>60.727678045583005</v>
      </c>
      <c r="AO191" s="3">
        <f t="shared" si="29"/>
        <v>4.030418235278697</v>
      </c>
    </row>
    <row r="192" spans="1:41" x14ac:dyDescent="0.3">
      <c r="A192" s="2">
        <v>19.73585635742544</v>
      </c>
      <c r="B192" s="2">
        <v>26.96956957624533</v>
      </c>
      <c r="C192" s="2">
        <v>32.237755391243113</v>
      </c>
      <c r="AN192" s="3">
        <f t="shared" si="28"/>
        <v>2.8812166121266873</v>
      </c>
      <c r="AO192" s="3">
        <f t="shared" si="29"/>
        <v>5.019425095906751</v>
      </c>
    </row>
    <row r="193" spans="1:41" x14ac:dyDescent="0.3">
      <c r="A193" s="2">
        <v>0.58133373417768031</v>
      </c>
      <c r="B193" s="2">
        <v>27.20424453868489</v>
      </c>
      <c r="C193" s="2">
        <v>37.003744517352303</v>
      </c>
      <c r="AN193" s="3">
        <f t="shared" si="28"/>
        <v>3.7329704049156525</v>
      </c>
      <c r="AO193" s="3">
        <f t="shared" si="29"/>
        <v>49.089591586604563</v>
      </c>
    </row>
    <row r="194" spans="1:41" x14ac:dyDescent="0.3">
      <c r="A194" s="2">
        <v>12.226764810474201</v>
      </c>
      <c r="B194" s="2">
        <v>32.599490130191107</v>
      </c>
      <c r="C194" s="2">
        <v>39.066651656607966</v>
      </c>
      <c r="AN194" s="3">
        <f t="shared" si="28"/>
        <v>53.689841700758443</v>
      </c>
      <c r="AO194" s="3">
        <f t="shared" si="29"/>
        <v>82.252268075655735</v>
      </c>
    </row>
    <row r="195" spans="1:41" x14ac:dyDescent="0.3">
      <c r="A195" s="2">
        <v>18.3544436736458</v>
      </c>
      <c r="B195" s="2">
        <v>23.388348747489228</v>
      </c>
      <c r="C195" s="2">
        <v>30.872091363038141</v>
      </c>
      <c r="AN195" s="3">
        <f t="shared" ref="AN195:AN258" si="30">(B195-$AK$2)^2</f>
        <v>3.5487255880600248</v>
      </c>
      <c r="AO195" s="3">
        <f t="shared" ref="AO195:AO258" si="31">(C195-$AK$3)^2</f>
        <v>0.76517587979523172</v>
      </c>
    </row>
    <row r="196" spans="1:41" x14ac:dyDescent="0.3">
      <c r="A196" s="2">
        <v>4.4521948870859136</v>
      </c>
      <c r="B196" s="2">
        <v>21.118802596082439</v>
      </c>
      <c r="C196" s="2">
        <v>20.30457185975845</v>
      </c>
      <c r="AN196" s="3">
        <f t="shared" si="30"/>
        <v>17.250335289513639</v>
      </c>
      <c r="AO196" s="3">
        <f t="shared" si="31"/>
        <v>93.949910095821679</v>
      </c>
    </row>
    <row r="197" spans="1:41" x14ac:dyDescent="0.3">
      <c r="A197" s="2">
        <v>4.0815863652486009</v>
      </c>
      <c r="B197" s="2">
        <v>23.130804624619511</v>
      </c>
      <c r="C197" s="2">
        <v>37.304203063158923</v>
      </c>
      <c r="AN197" s="3">
        <f t="shared" si="30"/>
        <v>4.5853809652955562</v>
      </c>
      <c r="AO197" s="3">
        <f t="shared" si="31"/>
        <v>53.39013031773014</v>
      </c>
    </row>
    <row r="198" spans="1:41" x14ac:dyDescent="0.3">
      <c r="A198" s="2">
        <v>13.151532682077461</v>
      </c>
      <c r="B198" s="2">
        <v>30.837288652574252</v>
      </c>
      <c r="C198" s="2">
        <v>26.637007529686318</v>
      </c>
      <c r="AN198" s="3">
        <f t="shared" si="30"/>
        <v>30.970713779099572</v>
      </c>
      <c r="AO198" s="3">
        <f t="shared" si="31"/>
        <v>11.291888350650922</v>
      </c>
    </row>
    <row r="199" spans="1:41" x14ac:dyDescent="0.3">
      <c r="A199" s="2">
        <v>6.251589366593584</v>
      </c>
      <c r="B199" s="2">
        <v>20.655457686251879</v>
      </c>
      <c r="C199" s="2">
        <v>28.99223013668238</v>
      </c>
      <c r="AN199" s="3">
        <f t="shared" si="30"/>
        <v>21.313893084571571</v>
      </c>
      <c r="AO199" s="3">
        <f t="shared" si="31"/>
        <v>1.0102620011835288</v>
      </c>
    </row>
    <row r="200" spans="1:41" x14ac:dyDescent="0.3">
      <c r="A200" s="2">
        <v>10.16405926332175</v>
      </c>
      <c r="B200" s="2">
        <v>20.226537401773669</v>
      </c>
      <c r="C200" s="2">
        <v>26.203518601101251</v>
      </c>
      <c r="AN200" s="3">
        <f t="shared" si="30"/>
        <v>25.458255852223228</v>
      </c>
      <c r="AO200" s="3">
        <f t="shared" si="31"/>
        <v>14.393141817546557</v>
      </c>
    </row>
    <row r="201" spans="1:41" x14ac:dyDescent="0.3">
      <c r="A201" s="2">
        <v>0.1135525966996794</v>
      </c>
      <c r="B201" s="2">
        <v>30.050874368512741</v>
      </c>
      <c r="C201" s="2">
        <v>27.117845854737229</v>
      </c>
      <c r="AN201" s="3">
        <f t="shared" si="30"/>
        <v>22.8361598403683</v>
      </c>
      <c r="AO201" s="3">
        <f t="shared" si="31"/>
        <v>8.2915328395566963</v>
      </c>
    </row>
    <row r="202" spans="1:41" x14ac:dyDescent="0.3">
      <c r="A202" s="2">
        <v>1.8405997964497489</v>
      </c>
      <c r="B202" s="2">
        <v>27.539796656202711</v>
      </c>
      <c r="C202" s="2">
        <v>30.9040603120824</v>
      </c>
      <c r="AN202" s="3">
        <f t="shared" si="30"/>
        <v>5.142199173207846</v>
      </c>
      <c r="AO202" s="3">
        <f t="shared" si="31"/>
        <v>0.82212714288891808</v>
      </c>
    </row>
    <row r="203" spans="1:41" x14ac:dyDescent="0.3">
      <c r="A203" s="2">
        <v>19.671740604226681</v>
      </c>
      <c r="B203" s="2">
        <v>16.070532843206411</v>
      </c>
      <c r="C203" s="2">
        <v>25.248528593148439</v>
      </c>
      <c r="AN203" s="3">
        <f t="shared" si="30"/>
        <v>84.669848318896783</v>
      </c>
      <c r="AO203" s="3">
        <f t="shared" si="31"/>
        <v>22.551286146420757</v>
      </c>
    </row>
    <row r="204" spans="1:41" x14ac:dyDescent="0.3">
      <c r="A204" s="2">
        <v>8.619566451898935</v>
      </c>
      <c r="B204" s="2">
        <v>22.95356874924612</v>
      </c>
      <c r="C204" s="2">
        <v>20.043125904377749</v>
      </c>
      <c r="AN204" s="3">
        <f t="shared" si="30"/>
        <v>5.3758416988637778</v>
      </c>
      <c r="AO204" s="3">
        <f t="shared" si="31"/>
        <v>99.086538341295523</v>
      </c>
    </row>
    <row r="205" spans="1:41" x14ac:dyDescent="0.3">
      <c r="A205" s="2">
        <v>3.1050284846634528</v>
      </c>
      <c r="B205" s="2">
        <v>18.150945561515929</v>
      </c>
      <c r="C205" s="2">
        <v>18.40731124856644</v>
      </c>
      <c r="AN205" s="3">
        <f t="shared" si="30"/>
        <v>50.711622320874916</v>
      </c>
      <c r="AO205" s="3">
        <f t="shared" si="31"/>
        <v>134.32895284539367</v>
      </c>
    </row>
    <row r="206" spans="1:41" x14ac:dyDescent="0.3">
      <c r="A206" s="2">
        <v>27.984088285191248</v>
      </c>
      <c r="B206" s="2">
        <v>30.485455229961019</v>
      </c>
      <c r="C206" s="2">
        <v>27.629609454203528</v>
      </c>
      <c r="AN206" s="3">
        <f t="shared" si="30"/>
        <v>27.178500419420381</v>
      </c>
      <c r="AO206" s="3">
        <f t="shared" si="31"/>
        <v>5.6061860144713602</v>
      </c>
    </row>
    <row r="207" spans="1:41" x14ac:dyDescent="0.3">
      <c r="A207" s="2">
        <v>7.0851981515374094</v>
      </c>
      <c r="B207" s="2">
        <v>27.920770883692771</v>
      </c>
      <c r="C207" s="2">
        <v>22.04016938825179</v>
      </c>
      <c r="AN207" s="3">
        <f t="shared" si="30"/>
        <v>7.0151666743140044</v>
      </c>
      <c r="AO207" s="3">
        <f t="shared" si="31"/>
        <v>63.316692108614319</v>
      </c>
    </row>
    <row r="208" spans="1:41" x14ac:dyDescent="0.3">
      <c r="A208" s="2">
        <v>6.3640915624707892</v>
      </c>
      <c r="B208" s="2">
        <v>24.467255949666718</v>
      </c>
      <c r="C208" s="2">
        <v>36.766890658240293</v>
      </c>
      <c r="AN208" s="3">
        <f t="shared" si="30"/>
        <v>0.64786230649908894</v>
      </c>
      <c r="AO208" s="3">
        <f t="shared" si="31"/>
        <v>45.826707249301762</v>
      </c>
    </row>
    <row r="209" spans="1:41" x14ac:dyDescent="0.3">
      <c r="A209" s="2">
        <v>0.38881043875973159</v>
      </c>
      <c r="B209" s="2">
        <v>19.06915504890824</v>
      </c>
      <c r="C209" s="2">
        <v>25.59660761085992</v>
      </c>
      <c r="AN209" s="3">
        <f t="shared" si="30"/>
        <v>38.477207046690573</v>
      </c>
      <c r="AO209" s="3">
        <f t="shared" si="31"/>
        <v>19.366516331734299</v>
      </c>
    </row>
    <row r="210" spans="1:41" x14ac:dyDescent="0.3">
      <c r="A210" s="2">
        <v>19.261298527450951</v>
      </c>
      <c r="B210" s="2">
        <v>16.095157900549069</v>
      </c>
      <c r="C210" s="2">
        <v>29.60387239830132</v>
      </c>
      <c r="AN210" s="3">
        <f t="shared" si="30"/>
        <v>84.21727377117854</v>
      </c>
      <c r="AO210" s="3">
        <f t="shared" si="31"/>
        <v>0.15482308124199307</v>
      </c>
    </row>
    <row r="211" spans="1:41" x14ac:dyDescent="0.3">
      <c r="A211" s="2">
        <v>5.7373810017390383</v>
      </c>
      <c r="B211" s="2">
        <v>24.932285109630818</v>
      </c>
      <c r="C211" s="2">
        <v>20.242160222185419</v>
      </c>
      <c r="AN211" s="3">
        <f t="shared" si="30"/>
        <v>0.11551146860025416</v>
      </c>
      <c r="AO211" s="3">
        <f t="shared" si="31"/>
        <v>95.163689376501949</v>
      </c>
    </row>
    <row r="212" spans="1:41" x14ac:dyDescent="0.3">
      <c r="A212" s="2">
        <v>26.10446425178516</v>
      </c>
      <c r="B212" s="2">
        <v>24.596158224718259</v>
      </c>
      <c r="C212" s="2">
        <v>19.62428875599365</v>
      </c>
      <c r="AN212" s="3">
        <f t="shared" si="30"/>
        <v>0.4569714934452257</v>
      </c>
      <c r="AO212" s="3">
        <f t="shared" si="31"/>
        <v>107.60035892616638</v>
      </c>
    </row>
    <row r="213" spans="1:41" x14ac:dyDescent="0.3">
      <c r="A213" s="2">
        <v>9.9105507861849258</v>
      </c>
      <c r="B213" s="2">
        <v>18.177394620674441</v>
      </c>
      <c r="C213" s="2">
        <v>26.990669397099499</v>
      </c>
      <c r="AN213" s="3">
        <f t="shared" si="30"/>
        <v>50.335623299909635</v>
      </c>
      <c r="AO213" s="3">
        <f t="shared" si="31"/>
        <v>9.0401164665018339</v>
      </c>
    </row>
    <row r="214" spans="1:41" x14ac:dyDescent="0.3">
      <c r="A214" s="2">
        <v>2.729710427472217</v>
      </c>
      <c r="B214" s="2">
        <v>22.22570167886477</v>
      </c>
      <c r="C214" s="2">
        <v>34.464316951238828</v>
      </c>
      <c r="AN214" s="3">
        <f t="shared" si="30"/>
        <v>9.2808771765285609</v>
      </c>
      <c r="AO214" s="3">
        <f t="shared" si="31"/>
        <v>19.953811246801578</v>
      </c>
    </row>
    <row r="215" spans="1:41" x14ac:dyDescent="0.3">
      <c r="A215" s="2">
        <v>9.7779309108441286</v>
      </c>
      <c r="B215" s="2">
        <v>24.310738988154149</v>
      </c>
      <c r="C215" s="2">
        <v>22.448650495193309</v>
      </c>
      <c r="AN215" s="3">
        <f t="shared" si="30"/>
        <v>0.92432053912838275</v>
      </c>
      <c r="AO215" s="3">
        <f t="shared" si="31"/>
        <v>56.982834635091528</v>
      </c>
    </row>
    <row r="216" spans="1:41" x14ac:dyDescent="0.3">
      <c r="A216" s="2">
        <v>19.504888550944329</v>
      </c>
      <c r="B216" s="2">
        <v>21.283174347424641</v>
      </c>
      <c r="C216" s="2">
        <v>35.065412710244154</v>
      </c>
      <c r="AN216" s="3">
        <f t="shared" si="30"/>
        <v>15.911965780688389</v>
      </c>
      <c r="AO216" s="3">
        <f t="shared" si="31"/>
        <v>25.685279493639175</v>
      </c>
    </row>
    <row r="217" spans="1:41" x14ac:dyDescent="0.3">
      <c r="A217" s="2">
        <v>25.51252459305239</v>
      </c>
      <c r="B217" s="2">
        <v>23.22286086897714</v>
      </c>
      <c r="C217" s="2">
        <v>33.201057977258991</v>
      </c>
      <c r="AN217" s="3">
        <f t="shared" si="30"/>
        <v>4.1996059905818024</v>
      </c>
      <c r="AO217" s="3">
        <f t="shared" si="31"/>
        <v>10.263757356947799</v>
      </c>
    </row>
    <row r="218" spans="1:41" x14ac:dyDescent="0.3">
      <c r="A218" s="2">
        <v>20.207682604051818</v>
      </c>
      <c r="B218" s="2">
        <v>18.370191993275711</v>
      </c>
      <c r="C218" s="2">
        <v>28.65036658183222</v>
      </c>
      <c r="AN218" s="3">
        <f t="shared" si="30"/>
        <v>47.63709184790514</v>
      </c>
      <c r="AO218" s="3">
        <f t="shared" si="31"/>
        <v>1.8143590508106515</v>
      </c>
    </row>
    <row r="219" spans="1:41" x14ac:dyDescent="0.3">
      <c r="A219" s="2">
        <v>23.654920985131781</v>
      </c>
      <c r="B219" s="2">
        <v>33.217484463823979</v>
      </c>
      <c r="C219" s="2">
        <v>27.861997558107781</v>
      </c>
      <c r="AN219" s="3">
        <f t="shared" si="30"/>
        <v>63.128262013490016</v>
      </c>
      <c r="AO219" s="3">
        <f t="shared" si="31"/>
        <v>4.5597216839460701</v>
      </c>
    </row>
    <row r="220" spans="1:41" x14ac:dyDescent="0.3">
      <c r="A220" s="2">
        <v>8.1679086793543085</v>
      </c>
      <c r="B220" s="2">
        <v>21.90741263961942</v>
      </c>
      <c r="C220" s="2">
        <v>31.834274381426798</v>
      </c>
      <c r="AN220" s="3">
        <f t="shared" si="30"/>
        <v>11.321490421317643</v>
      </c>
      <c r="AO220" s="3">
        <f t="shared" si="31"/>
        <v>3.3742983808780846</v>
      </c>
    </row>
    <row r="221" spans="1:41" x14ac:dyDescent="0.3">
      <c r="A221" s="2">
        <v>1.8522506907029682E-2</v>
      </c>
      <c r="B221" s="2">
        <v>25.042862034231131</v>
      </c>
      <c r="C221" s="2">
        <v>23.097770288590549</v>
      </c>
      <c r="AN221" s="3">
        <f t="shared" si="30"/>
        <v>5.2575214375934654E-2</v>
      </c>
      <c r="AO221" s="3">
        <f t="shared" si="31"/>
        <v>47.60417315882296</v>
      </c>
    </row>
    <row r="222" spans="1:41" x14ac:dyDescent="0.3">
      <c r="A222" s="2">
        <v>12.016392652606379</v>
      </c>
      <c r="B222" s="2">
        <v>16.30950904584936</v>
      </c>
      <c r="C222" s="2">
        <v>28.030964856876679</v>
      </c>
      <c r="AN222" s="3">
        <f t="shared" si="30"/>
        <v>80.329020553832137</v>
      </c>
      <c r="AO222" s="3">
        <f t="shared" si="31"/>
        <v>3.8666628260276314</v>
      </c>
    </row>
    <row r="223" spans="1:41" x14ac:dyDescent="0.3">
      <c r="A223" s="2">
        <v>14.63953864442432</v>
      </c>
      <c r="B223" s="2">
        <v>29.740705455524861</v>
      </c>
      <c r="C223" s="2">
        <v>35.188420050143627</v>
      </c>
      <c r="AN223" s="3">
        <f t="shared" si="30"/>
        <v>19.967944143609134</v>
      </c>
      <c r="AO223" s="3">
        <f t="shared" si="31"/>
        <v>26.947228606161275</v>
      </c>
    </row>
    <row r="224" spans="1:41" x14ac:dyDescent="0.3">
      <c r="A224" s="2">
        <v>15.40259717412062</v>
      </c>
      <c r="B224" s="2">
        <v>24.375015095406251</v>
      </c>
      <c r="C224" s="2">
        <v>31.240367188849859</v>
      </c>
      <c r="AN224" s="3">
        <f t="shared" si="30"/>
        <v>0.80485981366240822</v>
      </c>
      <c r="AO224" s="3">
        <f t="shared" si="31"/>
        <v>1.5450966024115091</v>
      </c>
    </row>
    <row r="225" spans="1:41" x14ac:dyDescent="0.3">
      <c r="A225" s="2">
        <v>11.7279613098907</v>
      </c>
      <c r="B225" s="2">
        <v>28.482834557700571</v>
      </c>
      <c r="C225" s="2">
        <v>31.726033029112578</v>
      </c>
      <c r="AN225" s="3">
        <f t="shared" si="30"/>
        <v>10.308463919214075</v>
      </c>
      <c r="AO225" s="3">
        <f t="shared" si="31"/>
        <v>2.9883517888074005</v>
      </c>
    </row>
    <row r="226" spans="1:41" x14ac:dyDescent="0.3">
      <c r="A226" s="2">
        <v>36.135753256181573</v>
      </c>
      <c r="B226" s="2">
        <v>29.329253330339579</v>
      </c>
      <c r="C226" s="2">
        <v>35.01455861817449</v>
      </c>
      <c r="AN226" s="3">
        <f t="shared" si="30"/>
        <v>16.460047742763432</v>
      </c>
      <c r="AO226" s="3">
        <f t="shared" si="31"/>
        <v>25.172401977689855</v>
      </c>
    </row>
    <row r="227" spans="1:41" x14ac:dyDescent="0.3">
      <c r="A227" s="2">
        <v>14.733091884089349</v>
      </c>
      <c r="B227" s="2">
        <v>20.883135365688918</v>
      </c>
      <c r="C227" s="2">
        <v>32.041979882291237</v>
      </c>
      <c r="AN227" s="3">
        <f t="shared" si="30"/>
        <v>19.263492397595144</v>
      </c>
      <c r="AO227" s="3">
        <f t="shared" si="31"/>
        <v>4.180519367228186</v>
      </c>
    </row>
    <row r="228" spans="1:41" x14ac:dyDescent="0.3">
      <c r="A228" s="2">
        <v>16.009527857126059</v>
      </c>
      <c r="B228" s="2">
        <v>18.454710549590061</v>
      </c>
      <c r="C228" s="2">
        <v>24.442957492451828</v>
      </c>
      <c r="AN228" s="3">
        <f t="shared" si="30"/>
        <v>46.4775473544872</v>
      </c>
      <c r="AO228" s="3">
        <f t="shared" si="31"/>
        <v>30.851254363611179</v>
      </c>
    </row>
    <row r="229" spans="1:41" x14ac:dyDescent="0.3">
      <c r="A229" s="2">
        <v>8.5115408117633571</v>
      </c>
      <c r="B229" s="2">
        <v>35.254001355147651</v>
      </c>
      <c r="C229" s="2">
        <v>29.424955996754601</v>
      </c>
      <c r="AN229" s="3">
        <f t="shared" si="30"/>
        <v>99.637258824644263</v>
      </c>
      <c r="AO229" s="3">
        <f t="shared" si="31"/>
        <v>0.32763265208973397</v>
      </c>
    </row>
    <row r="230" spans="1:41" x14ac:dyDescent="0.3">
      <c r="A230" s="2">
        <v>25.145028128125539</v>
      </c>
      <c r="B230" s="2">
        <v>20.000923959535601</v>
      </c>
      <c r="C230" s="2">
        <v>32.915619474148549</v>
      </c>
      <c r="AN230" s="3">
        <f t="shared" si="30"/>
        <v>27.785875537670961</v>
      </c>
      <c r="AO230" s="3">
        <f t="shared" si="31"/>
        <v>8.5163081586815537</v>
      </c>
    </row>
    <row r="231" spans="1:41" x14ac:dyDescent="0.3">
      <c r="A231" s="2">
        <v>44.322165746454957</v>
      </c>
      <c r="B231" s="2">
        <v>27.334479770717952</v>
      </c>
      <c r="C231" s="2">
        <v>32.418982144399877</v>
      </c>
      <c r="AN231" s="3">
        <f t="shared" si="30"/>
        <v>4.2531839076085172</v>
      </c>
      <c r="AO231" s="3">
        <f t="shared" si="31"/>
        <v>5.8643117317041682</v>
      </c>
    </row>
    <row r="232" spans="1:41" x14ac:dyDescent="0.3">
      <c r="A232" s="2">
        <v>5.151179154361861</v>
      </c>
      <c r="B232" s="2">
        <v>22.415041300883729</v>
      </c>
      <c r="C232" s="2">
        <v>28.767746265503781</v>
      </c>
      <c r="AN232" s="3">
        <f t="shared" si="30"/>
        <v>8.1630980694525945</v>
      </c>
      <c r="AO232" s="3">
        <f t="shared" si="31"/>
        <v>1.5119205258186246</v>
      </c>
    </row>
    <row r="233" spans="1:41" x14ac:dyDescent="0.3">
      <c r="A233" s="2">
        <v>1.338906222788683</v>
      </c>
      <c r="B233" s="2">
        <v>33.180780700326437</v>
      </c>
      <c r="C233" s="2">
        <v>24.760543170149909</v>
      </c>
      <c r="AN233" s="3">
        <f t="shared" si="30"/>
        <v>62.546362184676717</v>
      </c>
      <c r="AO233" s="3">
        <f t="shared" si="31"/>
        <v>27.424125253294385</v>
      </c>
    </row>
    <row r="234" spans="1:41" x14ac:dyDescent="0.3">
      <c r="A234" s="2">
        <v>3.2477433672711111</v>
      </c>
      <c r="B234" s="2">
        <v>31.630669368026009</v>
      </c>
      <c r="C234" s="2">
        <v>29.99239795398266</v>
      </c>
      <c r="AN234" s="3">
        <f t="shared" si="30"/>
        <v>40.430706348706266</v>
      </c>
      <c r="AO234" s="3">
        <f t="shared" si="31"/>
        <v>2.4503359527429104E-5</v>
      </c>
    </row>
    <row r="235" spans="1:41" x14ac:dyDescent="0.3">
      <c r="A235" s="2">
        <v>2.6266666942857162</v>
      </c>
      <c r="B235" s="2">
        <v>26.788541386565129</v>
      </c>
      <c r="C235" s="2">
        <v>30.642132145333662</v>
      </c>
      <c r="AN235" s="3">
        <f t="shared" si="30"/>
        <v>2.2994280025388285</v>
      </c>
      <c r="AO235" s="3">
        <f t="shared" si="31"/>
        <v>0.41574654145559886</v>
      </c>
    </row>
    <row r="236" spans="1:41" x14ac:dyDescent="0.3">
      <c r="A236" s="2">
        <v>1.4715852470821</v>
      </c>
      <c r="B236" s="2">
        <v>17.92914192935358</v>
      </c>
      <c r="C236" s="2">
        <v>23.180614519816078</v>
      </c>
      <c r="AN236" s="3">
        <f t="shared" si="30"/>
        <v>53.919839361655093</v>
      </c>
      <c r="AO236" s="3">
        <f t="shared" si="31"/>
        <v>46.467855896144727</v>
      </c>
    </row>
    <row r="237" spans="1:41" x14ac:dyDescent="0.3">
      <c r="A237" s="2">
        <v>14.329575060950321</v>
      </c>
      <c r="B237" s="2">
        <v>34.607549713265293</v>
      </c>
      <c r="C237" s="2">
        <v>27.600664751931419</v>
      </c>
      <c r="AN237" s="3">
        <f t="shared" si="30"/>
        <v>87.149596478999001</v>
      </c>
      <c r="AO237" s="3">
        <f t="shared" si="31"/>
        <v>5.7440907871555886</v>
      </c>
    </row>
    <row r="238" spans="1:41" x14ac:dyDescent="0.3">
      <c r="A238" s="2">
        <v>1.1043487224092901</v>
      </c>
      <c r="B238" s="2">
        <v>30.593301115287201</v>
      </c>
      <c r="C238" s="2">
        <v>36.203702916398662</v>
      </c>
      <c r="AN238" s="3">
        <f t="shared" si="30"/>
        <v>28.314597135356131</v>
      </c>
      <c r="AO238" s="3">
        <f t="shared" si="31"/>
        <v>38.518840841831882</v>
      </c>
    </row>
    <row r="239" spans="1:41" x14ac:dyDescent="0.3">
      <c r="A239" s="2">
        <v>9.0196393359518758</v>
      </c>
      <c r="B239" s="2">
        <v>36.347059440130472</v>
      </c>
      <c r="C239" s="2">
        <v>38.978754466547258</v>
      </c>
      <c r="AN239" s="3">
        <f t="shared" si="30"/>
        <v>122.6535107621737</v>
      </c>
      <c r="AO239" s="3">
        <f t="shared" si="31"/>
        <v>80.665661384402924</v>
      </c>
    </row>
    <row r="240" spans="1:41" x14ac:dyDescent="0.3">
      <c r="A240" s="2">
        <v>6.4638311649969502</v>
      </c>
      <c r="B240" s="2">
        <v>22.178382344125431</v>
      </c>
      <c r="C240" s="2">
        <v>35.956671704152797</v>
      </c>
      <c r="AN240" s="3">
        <f t="shared" si="30"/>
        <v>9.5714285746377374</v>
      </c>
      <c r="AO240" s="3">
        <f t="shared" si="31"/>
        <v>35.513538524562613</v>
      </c>
    </row>
    <row r="241" spans="1:41" x14ac:dyDescent="0.3">
      <c r="A241" s="2">
        <v>11.52630310468944</v>
      </c>
      <c r="B241" s="2">
        <v>27.800526658786541</v>
      </c>
      <c r="C241" s="2">
        <v>28.011920505750009</v>
      </c>
      <c r="AN241" s="3">
        <f t="shared" si="30"/>
        <v>6.3926637938166264</v>
      </c>
      <c r="AO241" s="3">
        <f t="shared" si="31"/>
        <v>3.941922496946006</v>
      </c>
    </row>
    <row r="242" spans="1:41" x14ac:dyDescent="0.3">
      <c r="A242" s="2">
        <v>19.550706591697988</v>
      </c>
      <c r="B242" s="2">
        <v>26.19935344274602</v>
      </c>
      <c r="C242" s="2">
        <v>26.678467602600591</v>
      </c>
      <c r="AN242" s="3">
        <f t="shared" si="30"/>
        <v>0.85969715350787945</v>
      </c>
      <c r="AO242" s="3">
        <f t="shared" si="31"/>
        <v>11.014967363081627</v>
      </c>
    </row>
    <row r="243" spans="1:41" x14ac:dyDescent="0.3">
      <c r="A243" s="2">
        <v>16.508951780826749</v>
      </c>
      <c r="B243" s="2">
        <v>26.496811199258751</v>
      </c>
      <c r="C243" s="2">
        <v>31.036375288697538</v>
      </c>
      <c r="AN243" s="3">
        <f t="shared" si="30"/>
        <v>1.4997830722325709</v>
      </c>
      <c r="AO243" s="3">
        <f t="shared" si="31"/>
        <v>1.0795776218676072</v>
      </c>
    </row>
    <row r="244" spans="1:41" x14ac:dyDescent="0.3">
      <c r="A244" s="2">
        <v>1.645873742173402</v>
      </c>
      <c r="B244" s="2">
        <v>21.98854809553513</v>
      </c>
      <c r="C244" s="2">
        <v>30.612226239029539</v>
      </c>
      <c r="AN244" s="3">
        <f t="shared" si="30"/>
        <v>10.782073590240502</v>
      </c>
      <c r="AO244" s="3">
        <f t="shared" si="31"/>
        <v>0.37807519865449768</v>
      </c>
    </row>
    <row r="245" spans="1:41" x14ac:dyDescent="0.3">
      <c r="A245" s="2">
        <v>12.22057113618011</v>
      </c>
      <c r="B245" s="2">
        <v>26.495124843956582</v>
      </c>
      <c r="C245" s="2">
        <v>29.352024394009341</v>
      </c>
      <c r="AN245" s="3">
        <f t="shared" si="30"/>
        <v>1.4956555047107911</v>
      </c>
      <c r="AO245" s="3">
        <f t="shared" si="31"/>
        <v>0.41644260911087566</v>
      </c>
    </row>
    <row r="246" spans="1:41" x14ac:dyDescent="0.3">
      <c r="A246" s="2">
        <v>6.5380403301936703</v>
      </c>
      <c r="B246" s="2">
        <v>26.694302966905259</v>
      </c>
      <c r="C246" s="2">
        <v>26.83691999484217</v>
      </c>
      <c r="AN246" s="3">
        <f t="shared" si="30"/>
        <v>2.0225051484941643</v>
      </c>
      <c r="AO246" s="3">
        <f t="shared" si="31"/>
        <v>9.9883054336948547</v>
      </c>
    </row>
    <row r="247" spans="1:41" x14ac:dyDescent="0.3">
      <c r="A247" s="2">
        <v>13.52095547808344</v>
      </c>
      <c r="B247" s="2">
        <v>27.65883967562046</v>
      </c>
      <c r="C247" s="2">
        <v>27.616135643667381</v>
      </c>
      <c r="AN247" s="3">
        <f t="shared" si="30"/>
        <v>5.6962642589455967</v>
      </c>
      <c r="AO247" s="3">
        <f t="shared" si="31"/>
        <v>5.6701724802716553</v>
      </c>
    </row>
    <row r="248" spans="1:41" x14ac:dyDescent="0.3">
      <c r="A248" s="2">
        <v>2.8731713950105759</v>
      </c>
      <c r="B248" s="2">
        <v>28.716058068396809</v>
      </c>
      <c r="C248" s="2">
        <v>42.63465544496048</v>
      </c>
      <c r="AN248" s="3">
        <f t="shared" si="30"/>
        <v>11.860469092119104</v>
      </c>
      <c r="AO248" s="3">
        <f t="shared" si="31"/>
        <v>159.70153842717721</v>
      </c>
    </row>
    <row r="249" spans="1:41" x14ac:dyDescent="0.3">
      <c r="A249" s="2">
        <v>9.9583313208324054</v>
      </c>
      <c r="B249" s="2">
        <v>22.940235328970981</v>
      </c>
      <c r="C249" s="2">
        <v>32.803728720356723</v>
      </c>
      <c r="AN249" s="3">
        <f t="shared" si="30"/>
        <v>5.4378488459164966</v>
      </c>
      <c r="AO249" s="3">
        <f t="shared" si="31"/>
        <v>7.8757725185732506</v>
      </c>
    </row>
    <row r="250" spans="1:41" x14ac:dyDescent="0.3">
      <c r="A250" s="2">
        <v>7.2581336268859449</v>
      </c>
      <c r="B250" s="2">
        <v>21.688496690636661</v>
      </c>
      <c r="C250" s="2">
        <v>33.230788459197683</v>
      </c>
      <c r="AN250" s="3">
        <f t="shared" si="30"/>
        <v>12.842606100324559</v>
      </c>
      <c r="AO250" s="3">
        <f t="shared" si="31"/>
        <v>10.455136939309343</v>
      </c>
    </row>
    <row r="251" spans="1:41" x14ac:dyDescent="0.3">
      <c r="A251" s="2">
        <v>0.6155043443352024</v>
      </c>
      <c r="B251" s="2">
        <v>28.447465720583189</v>
      </c>
      <c r="C251" s="2">
        <v>36.317397083596987</v>
      </c>
      <c r="AN251" s="3">
        <f t="shared" si="30"/>
        <v>10.08259886155037</v>
      </c>
      <c r="AO251" s="3">
        <f t="shared" si="31"/>
        <v>39.943019903323069</v>
      </c>
    </row>
    <row r="252" spans="1:41" x14ac:dyDescent="0.3">
      <c r="A252" s="2">
        <v>13.88417803034103</v>
      </c>
      <c r="B252" s="2">
        <v>20.895853254617428</v>
      </c>
      <c r="C252" s="2">
        <v>27.463520659197979</v>
      </c>
      <c r="AN252" s="3">
        <f t="shared" si="30"/>
        <v>19.15201601662632</v>
      </c>
      <c r="AO252" s="3">
        <f t="shared" si="31"/>
        <v>6.4202811997706046</v>
      </c>
    </row>
    <row r="253" spans="1:41" x14ac:dyDescent="0.3">
      <c r="A253" s="2">
        <v>2.1080350570552429</v>
      </c>
      <c r="B253" s="2">
        <v>30.815428122822901</v>
      </c>
      <c r="C253" s="2">
        <v>25.208834141404019</v>
      </c>
      <c r="AN253" s="3">
        <f t="shared" si="30"/>
        <v>30.727878117550389</v>
      </c>
      <c r="AO253" s="3">
        <f t="shared" si="31"/>
        <v>22.929865364735814</v>
      </c>
    </row>
    <row r="254" spans="1:41" x14ac:dyDescent="0.3">
      <c r="A254" s="2">
        <v>0.27313715262588351</v>
      </c>
      <c r="B254" s="2">
        <v>24.064523652349919</v>
      </c>
      <c r="C254" s="2">
        <v>28.072017634018721</v>
      </c>
      <c r="AN254" s="3">
        <f t="shared" si="30"/>
        <v>1.4583732096732651</v>
      </c>
      <c r="AO254" s="3">
        <f t="shared" si="31"/>
        <v>3.7068971752875459</v>
      </c>
    </row>
    <row r="255" spans="1:41" x14ac:dyDescent="0.3">
      <c r="A255" s="2">
        <v>4.7464695419130027</v>
      </c>
      <c r="B255" s="2">
        <v>33.906239377528948</v>
      </c>
      <c r="C255" s="2">
        <v>43.640016243993138</v>
      </c>
      <c r="AN255" s="3">
        <f t="shared" si="30"/>
        <v>74.547414912585666</v>
      </c>
      <c r="AO255" s="3">
        <f t="shared" si="31"/>
        <v>186.12239570233928</v>
      </c>
    </row>
    <row r="256" spans="1:41" x14ac:dyDescent="0.3">
      <c r="A256" s="2">
        <v>13.6016223074758</v>
      </c>
      <c r="B256" s="2">
        <v>33.007427372894547</v>
      </c>
      <c r="C256" s="2">
        <v>31.35096908113244</v>
      </c>
      <c r="AN256" s="3">
        <f t="shared" si="30"/>
        <v>59.834440362046799</v>
      </c>
      <c r="AO256" s="3">
        <f t="shared" si="31"/>
        <v>1.8322899208229586</v>
      </c>
    </row>
    <row r="257" spans="1:41" x14ac:dyDescent="0.3">
      <c r="A257" s="2">
        <v>15.363820724816829</v>
      </c>
      <c r="B257" s="2">
        <v>19.619032152089709</v>
      </c>
      <c r="C257" s="2">
        <v>30.034058763028561</v>
      </c>
      <c r="AN257" s="3">
        <f t="shared" si="30"/>
        <v>31.957796706379458</v>
      </c>
      <c r="AO257" s="3">
        <f t="shared" si="31"/>
        <v>1.3476771263332163E-3</v>
      </c>
    </row>
    <row r="258" spans="1:41" x14ac:dyDescent="0.3">
      <c r="A258" s="2">
        <v>0.14661969966541269</v>
      </c>
      <c r="B258" s="2">
        <v>20.921118644584421</v>
      </c>
      <c r="C258" s="2">
        <v>16.248475926069201</v>
      </c>
      <c r="AN258" s="3">
        <f t="shared" si="30"/>
        <v>18.931516421620497</v>
      </c>
      <c r="AO258" s="3">
        <f t="shared" si="31"/>
        <v>189.03148442730057</v>
      </c>
    </row>
    <row r="259" spans="1:41" x14ac:dyDescent="0.3">
      <c r="A259" s="2">
        <v>5.5019300554510524</v>
      </c>
      <c r="B259" s="2">
        <v>17.13665703740724</v>
      </c>
      <c r="C259" s="2">
        <v>33.567176490040758</v>
      </c>
      <c r="AN259" s="3">
        <f t="shared" ref="AN259:AN322" si="32">(B259-$AK$2)^2</f>
        <v>66.186325333288423</v>
      </c>
      <c r="AO259" s="3">
        <f t="shared" ref="AO259:AO322" si="33">(C259-$AK$3)^2</f>
        <v>12.743675156988317</v>
      </c>
    </row>
    <row r="260" spans="1:41" x14ac:dyDescent="0.3">
      <c r="A260" s="2">
        <v>4.5611722025433998</v>
      </c>
      <c r="B260" s="2">
        <v>23.359313112313441</v>
      </c>
      <c r="C260" s="2">
        <v>31.037858513274241</v>
      </c>
      <c r="AN260" s="3">
        <f t="shared" si="32"/>
        <v>3.6589636720465415</v>
      </c>
      <c r="AO260" s="3">
        <f t="shared" si="33"/>
        <v>1.0826620433226339</v>
      </c>
    </row>
    <row r="261" spans="1:41" x14ac:dyDescent="0.3">
      <c r="A261" s="2">
        <v>8.1756249717668403</v>
      </c>
      <c r="B261" s="2">
        <v>20.66436521413635</v>
      </c>
      <c r="C261" s="2">
        <v>34.684283579937997</v>
      </c>
      <c r="AN261" s="3">
        <f t="shared" si="32"/>
        <v>21.231725710445492</v>
      </c>
      <c r="AO261" s="3">
        <f t="shared" si="33"/>
        <v>21.967364748008055</v>
      </c>
    </row>
    <row r="262" spans="1:41" x14ac:dyDescent="0.3">
      <c r="A262" s="2">
        <v>7.338837134019367</v>
      </c>
      <c r="B262" s="2">
        <v>26.354219723772669</v>
      </c>
      <c r="C262" s="2">
        <v>28.387056519372202</v>
      </c>
      <c r="AN262" s="3">
        <f t="shared" si="32"/>
        <v>1.1708643013289948</v>
      </c>
      <c r="AO262" s="3">
        <f t="shared" si="33"/>
        <v>2.5930387839914371</v>
      </c>
    </row>
    <row r="263" spans="1:41" x14ac:dyDescent="0.3">
      <c r="A263" s="2">
        <v>6.0023146419144631</v>
      </c>
      <c r="B263" s="2">
        <v>27.26181932335701</v>
      </c>
      <c r="C263" s="2">
        <v>29.9731253924224</v>
      </c>
      <c r="AN263" s="3">
        <f t="shared" si="32"/>
        <v>3.9587645515581653</v>
      </c>
      <c r="AO263" s="3">
        <f t="shared" si="33"/>
        <v>5.8673669456299048E-4</v>
      </c>
    </row>
    <row r="264" spans="1:41" x14ac:dyDescent="0.3">
      <c r="A264" s="2">
        <v>22.471315504951519</v>
      </c>
      <c r="B264" s="2">
        <v>31.592265827360809</v>
      </c>
      <c r="C264" s="2">
        <v>32.432929593350039</v>
      </c>
      <c r="AN264" s="3">
        <f t="shared" si="32"/>
        <v>39.943802242099714</v>
      </c>
      <c r="AO264" s="3">
        <f t="shared" si="33"/>
        <v>5.9320574991081685</v>
      </c>
    </row>
    <row r="265" spans="1:41" x14ac:dyDescent="0.3">
      <c r="A265" s="2">
        <v>1.5874055839612069</v>
      </c>
      <c r="B265" s="2">
        <v>29.592611580844029</v>
      </c>
      <c r="C265" s="2">
        <v>28.898800561502089</v>
      </c>
      <c r="AN265" s="3">
        <f t="shared" si="32"/>
        <v>18.666346004847792</v>
      </c>
      <c r="AO265" s="3">
        <f t="shared" si="33"/>
        <v>1.2068065642780594</v>
      </c>
    </row>
    <row r="266" spans="1:41" x14ac:dyDescent="0.3">
      <c r="A266" s="2">
        <v>11.05785176023384</v>
      </c>
      <c r="B266" s="2">
        <v>28.625860630632921</v>
      </c>
      <c r="C266" s="2">
        <v>29.794081670538041</v>
      </c>
      <c r="AN266" s="3">
        <f t="shared" si="32"/>
        <v>11.247342184964955</v>
      </c>
      <c r="AO266" s="3">
        <f t="shared" si="33"/>
        <v>4.1317217280630869E-2</v>
      </c>
    </row>
    <row r="267" spans="1:41" x14ac:dyDescent="0.3">
      <c r="A267" s="2">
        <v>2.600715357273029</v>
      </c>
      <c r="B267" s="2">
        <v>24.17139282303944</v>
      </c>
      <c r="C267" s="2">
        <v>32.802330230281719</v>
      </c>
      <c r="AN267" s="3">
        <f t="shared" si="32"/>
        <v>1.2116771312723391</v>
      </c>
      <c r="AO267" s="3">
        <f t="shared" si="33"/>
        <v>7.8679250832936596</v>
      </c>
    </row>
    <row r="268" spans="1:41" x14ac:dyDescent="0.3">
      <c r="A268" s="2">
        <v>3.5338749676307679</v>
      </c>
      <c r="B268" s="2">
        <v>22.69418040371292</v>
      </c>
      <c r="C268" s="2">
        <v>26.18422180188789</v>
      </c>
      <c r="AN268" s="3">
        <f t="shared" si="32"/>
        <v>6.6459524594720776</v>
      </c>
      <c r="AO268" s="3">
        <f t="shared" si="33"/>
        <v>14.539931713901758</v>
      </c>
    </row>
    <row r="269" spans="1:41" x14ac:dyDescent="0.3">
      <c r="A269" s="2">
        <v>10.87214609884702</v>
      </c>
      <c r="B269" s="2">
        <v>21.866283330519259</v>
      </c>
      <c r="C269" s="2">
        <v>33.344114251233123</v>
      </c>
      <c r="AN269" s="3">
        <f t="shared" si="32"/>
        <v>11.599961089621297</v>
      </c>
      <c r="AO269" s="3">
        <f t="shared" si="33"/>
        <v>11.200844067277798</v>
      </c>
    </row>
    <row r="270" spans="1:41" x14ac:dyDescent="0.3">
      <c r="A270" s="2">
        <v>3.0313358223506359</v>
      </c>
      <c r="B270" s="2">
        <v>22.901317725218529</v>
      </c>
      <c r="C270" s="2">
        <v>29.522298595946431</v>
      </c>
      <c r="AN270" s="3">
        <f t="shared" si="32"/>
        <v>5.6208688688293664</v>
      </c>
      <c r="AO270" s="3">
        <f t="shared" si="33"/>
        <v>0.22567197505839323</v>
      </c>
    </row>
    <row r="271" spans="1:41" x14ac:dyDescent="0.3">
      <c r="A271" s="2">
        <v>4.4404978234324934</v>
      </c>
      <c r="B271" s="2">
        <v>24.312689537701381</v>
      </c>
      <c r="C271" s="2">
        <v>29.425755596503759</v>
      </c>
      <c r="AN271" s="3">
        <f t="shared" si="32"/>
        <v>0.92057376506213195</v>
      </c>
      <c r="AO271" s="3">
        <f t="shared" si="33"/>
        <v>0.32671792237981118</v>
      </c>
    </row>
    <row r="272" spans="1:41" x14ac:dyDescent="0.3">
      <c r="A272" s="2">
        <v>0.51957203294751897</v>
      </c>
      <c r="B272" s="2">
        <v>33.754581224542022</v>
      </c>
      <c r="C272" s="2">
        <v>32.440392640509309</v>
      </c>
      <c r="AN272" s="3">
        <f t="shared" si="32"/>
        <v>71.951556496172344</v>
      </c>
      <c r="AO272" s="3">
        <f t="shared" si="33"/>
        <v>5.9684669161548847</v>
      </c>
    </row>
    <row r="273" spans="1:41" x14ac:dyDescent="0.3">
      <c r="A273" s="2">
        <v>5.1491736609671213</v>
      </c>
      <c r="B273" s="2">
        <v>26.565970436084012</v>
      </c>
      <c r="C273" s="2">
        <v>25.876859556585138</v>
      </c>
      <c r="AN273" s="3">
        <f t="shared" si="32"/>
        <v>1.6739586635121033</v>
      </c>
      <c r="AO273" s="3">
        <f t="shared" si="33"/>
        <v>16.978425348570784</v>
      </c>
    </row>
    <row r="274" spans="1:41" x14ac:dyDescent="0.3">
      <c r="A274" s="2">
        <v>27.564839941772899</v>
      </c>
      <c r="B274" s="2">
        <v>29.22646686808044</v>
      </c>
      <c r="C274" s="2">
        <v>30.895861117598791</v>
      </c>
      <c r="AN274" s="3">
        <f t="shared" si="32"/>
        <v>15.636583208448053</v>
      </c>
      <c r="AO274" s="3">
        <f t="shared" si="33"/>
        <v>0.80732574917330624</v>
      </c>
    </row>
    <row r="275" spans="1:41" x14ac:dyDescent="0.3">
      <c r="A275" s="2">
        <v>0.98132566272926447</v>
      </c>
      <c r="B275" s="2">
        <v>28.183183983978878</v>
      </c>
      <c r="C275" s="2">
        <v>26.249137341810659</v>
      </c>
      <c r="AN275" s="3">
        <f t="shared" si="32"/>
        <v>8.4740903774943792</v>
      </c>
      <c r="AO275" s="3">
        <f t="shared" si="33"/>
        <v>14.049083444039539</v>
      </c>
    </row>
    <row r="276" spans="1:41" x14ac:dyDescent="0.3">
      <c r="A276" s="2">
        <v>13.61930223823178</v>
      </c>
      <c r="B276" s="2">
        <v>36.876324226675777</v>
      </c>
      <c r="C276" s="2">
        <v>32.083655969499638</v>
      </c>
      <c r="AN276" s="3">
        <f t="shared" si="32"/>
        <v>134.65674596037451</v>
      </c>
      <c r="AO276" s="3">
        <f t="shared" si="33"/>
        <v>4.3526807733430761</v>
      </c>
    </row>
    <row r="277" spans="1:41" x14ac:dyDescent="0.3">
      <c r="A277" s="2">
        <v>4.3431947775364712</v>
      </c>
      <c r="B277" s="2">
        <v>32.303485974165497</v>
      </c>
      <c r="C277" s="2">
        <v>35.115657010144467</v>
      </c>
      <c r="AN277" s="3">
        <f t="shared" si="32"/>
        <v>49.439616794627931</v>
      </c>
      <c r="AO277" s="3">
        <f t="shared" si="33"/>
        <v>26.197086705642832</v>
      </c>
    </row>
    <row r="278" spans="1:41" x14ac:dyDescent="0.3">
      <c r="A278" s="2">
        <v>6.0115122501562581</v>
      </c>
      <c r="B278" s="2">
        <v>19.73317074522636</v>
      </c>
      <c r="C278" s="2">
        <v>34.083227531420803</v>
      </c>
      <c r="AN278" s="3">
        <f t="shared" si="32"/>
        <v>30.680345372221716</v>
      </c>
      <c r="AO278" s="3">
        <f t="shared" si="33"/>
        <v>16.694411211852415</v>
      </c>
    </row>
    <row r="279" spans="1:41" x14ac:dyDescent="0.3">
      <c r="A279" s="2">
        <v>5.7193193979744343</v>
      </c>
      <c r="B279" s="2">
        <v>35.384836032136988</v>
      </c>
      <c r="C279" s="2">
        <v>29.7081890947746</v>
      </c>
      <c r="AN279" s="3">
        <f t="shared" si="32"/>
        <v>102.26631985301478</v>
      </c>
      <c r="AO279" s="3">
        <f t="shared" si="33"/>
        <v>8.3612896068169421E-2</v>
      </c>
    </row>
    <row r="280" spans="1:41" x14ac:dyDescent="0.3">
      <c r="A280" s="2">
        <v>32.142048420041732</v>
      </c>
      <c r="B280" s="2">
        <v>17.912329153193401</v>
      </c>
      <c r="C280" s="2">
        <v>36.259143294283753</v>
      </c>
      <c r="AN280" s="3">
        <f t="shared" si="32"/>
        <v>54.167034897643667</v>
      </c>
      <c r="AO280" s="3">
        <f t="shared" si="33"/>
        <v>39.210079796515949</v>
      </c>
    </row>
    <row r="281" spans="1:41" x14ac:dyDescent="0.3">
      <c r="A281" s="2">
        <v>4.2238664122677614</v>
      </c>
      <c r="B281" s="2">
        <v>30.43258301106448</v>
      </c>
      <c r="C281" s="2">
        <v>32.433183384403208</v>
      </c>
      <c r="AN281" s="3">
        <f t="shared" si="32"/>
        <v>26.630018377610117</v>
      </c>
      <c r="AO281" s="3">
        <f t="shared" si="33"/>
        <v>5.9332938211326649</v>
      </c>
    </row>
    <row r="282" spans="1:41" x14ac:dyDescent="0.3">
      <c r="A282" s="2">
        <v>18.076872727789691</v>
      </c>
      <c r="B282" s="2">
        <v>27.342136547019781</v>
      </c>
      <c r="C282" s="2">
        <v>27.36992588382326</v>
      </c>
      <c r="AN282" s="3">
        <f t="shared" si="32"/>
        <v>4.2848240543562106</v>
      </c>
      <c r="AO282" s="3">
        <f t="shared" si="33"/>
        <v>6.9033471909872874</v>
      </c>
    </row>
    <row r="283" spans="1:41" x14ac:dyDescent="0.3">
      <c r="A283" s="2">
        <v>3.5166778201852691</v>
      </c>
      <c r="B283" s="2">
        <v>21.058224178170931</v>
      </c>
      <c r="C283" s="2">
        <v>36.487062192425853</v>
      </c>
      <c r="AN283" s="3">
        <f t="shared" si="32"/>
        <v>17.75721205639644</v>
      </c>
      <c r="AO283" s="3">
        <f t="shared" si="33"/>
        <v>42.116389769775857</v>
      </c>
    </row>
    <row r="284" spans="1:41" x14ac:dyDescent="0.3">
      <c r="A284" s="2">
        <v>1.509031796799239</v>
      </c>
      <c r="B284" s="2">
        <v>16.905520481354241</v>
      </c>
      <c r="C284" s="2">
        <v>27.88606273105594</v>
      </c>
      <c r="AN284" s="3">
        <f t="shared" si="32"/>
        <v>70.000571352356843</v>
      </c>
      <c r="AO284" s="3">
        <f t="shared" si="33"/>
        <v>4.4575256591531112</v>
      </c>
    </row>
    <row r="285" spans="1:41" x14ac:dyDescent="0.3">
      <c r="A285" s="2">
        <v>2.3211704738872458</v>
      </c>
      <c r="B285" s="2">
        <v>25.867257351466449</v>
      </c>
      <c r="C285" s="2">
        <v>31.94142003998968</v>
      </c>
      <c r="AN285" s="3">
        <f t="shared" si="32"/>
        <v>0.35414693790636015</v>
      </c>
      <c r="AO285" s="3">
        <f t="shared" si="33"/>
        <v>3.779415938022272</v>
      </c>
    </row>
    <row r="286" spans="1:41" x14ac:dyDescent="0.3">
      <c r="A286" s="2">
        <v>5.4242180326046192</v>
      </c>
      <c r="B286" s="2">
        <v>22.325000391857699</v>
      </c>
      <c r="C286" s="2">
        <v>29.85213041543755</v>
      </c>
      <c r="AN286" s="3">
        <f t="shared" si="32"/>
        <v>8.6857196445229548</v>
      </c>
      <c r="AO286" s="3">
        <f t="shared" si="33"/>
        <v>2.1088158716737051E-2</v>
      </c>
    </row>
    <row r="287" spans="1:41" x14ac:dyDescent="0.3">
      <c r="A287" s="2">
        <v>8.6344588206379278</v>
      </c>
      <c r="B287" s="2">
        <v>25.411098083558059</v>
      </c>
      <c r="C287" s="2">
        <v>37.702396913100998</v>
      </c>
      <c r="AN287" s="3">
        <f t="shared" si="32"/>
        <v>1.9305210630545858E-2</v>
      </c>
      <c r="AO287" s="3">
        <f t="shared" si="33"/>
        <v>59.367778124502934</v>
      </c>
    </row>
    <row r="288" spans="1:41" x14ac:dyDescent="0.3">
      <c r="A288" s="2">
        <v>11.061540909619101</v>
      </c>
      <c r="B288" s="2">
        <v>32.91421786080619</v>
      </c>
      <c r="C288" s="2">
        <v>29.347422635017232</v>
      </c>
      <c r="AN288" s="3">
        <f t="shared" si="32"/>
        <v>58.401126427460426</v>
      </c>
      <c r="AO288" s="3">
        <f t="shared" si="33"/>
        <v>0.42240303308560262</v>
      </c>
    </row>
    <row r="289" spans="1:41" x14ac:dyDescent="0.3">
      <c r="A289" s="2">
        <v>1.0720325121826331</v>
      </c>
      <c r="B289" s="2">
        <v>23.07181731654002</v>
      </c>
      <c r="C289" s="2">
        <v>23.78628321312716</v>
      </c>
      <c r="AN289" s="3">
        <f t="shared" si="32"/>
        <v>4.8414854436023989</v>
      </c>
      <c r="AO289" s="3">
        <f t="shared" si="33"/>
        <v>38.577326293590069</v>
      </c>
    </row>
    <row r="290" spans="1:41" x14ac:dyDescent="0.3">
      <c r="A290" s="2">
        <v>10.030954637690741</v>
      </c>
      <c r="B290" s="2">
        <v>19.402974588973159</v>
      </c>
      <c r="C290" s="2">
        <v>26.22691959297179</v>
      </c>
      <c r="AN290" s="3">
        <f t="shared" si="32"/>
        <v>34.44727742309329</v>
      </c>
      <c r="AO290" s="3">
        <f t="shared" si="33"/>
        <v>14.21613068021375</v>
      </c>
    </row>
    <row r="291" spans="1:41" x14ac:dyDescent="0.3">
      <c r="A291" s="2">
        <v>43.460672659827637</v>
      </c>
      <c r="B291" s="2">
        <v>31.55205652021456</v>
      </c>
      <c r="C291" s="2">
        <v>31.19356706117355</v>
      </c>
      <c r="AN291" s="3">
        <f t="shared" si="32"/>
        <v>39.437164466840848</v>
      </c>
      <c r="AO291" s="3">
        <f t="shared" si="33"/>
        <v>1.4309399446966329</v>
      </c>
    </row>
    <row r="292" spans="1:41" x14ac:dyDescent="0.3">
      <c r="A292" s="2">
        <v>4.0707002632371667</v>
      </c>
      <c r="B292" s="2">
        <v>13.87102958371017</v>
      </c>
      <c r="C292" s="2">
        <v>31.199444946975909</v>
      </c>
      <c r="AN292" s="3">
        <f t="shared" si="32"/>
        <v>129.98565828300153</v>
      </c>
      <c r="AO292" s="3">
        <f t="shared" si="33"/>
        <v>1.4450369718308367</v>
      </c>
    </row>
    <row r="293" spans="1:41" x14ac:dyDescent="0.3">
      <c r="A293" s="2">
        <v>13.44368343396861</v>
      </c>
      <c r="B293" s="2">
        <v>30.908596289107031</v>
      </c>
      <c r="C293" s="2">
        <v>34.603671829376033</v>
      </c>
      <c r="AN293" s="3">
        <f t="shared" si="32"/>
        <v>31.769471629115209</v>
      </c>
      <c r="AO293" s="3">
        <f t="shared" si="33"/>
        <v>21.218218845175191</v>
      </c>
    </row>
    <row r="294" spans="1:41" x14ac:dyDescent="0.3">
      <c r="A294" s="2">
        <v>15.681379669623</v>
      </c>
      <c r="B294" s="2">
        <v>23.96728598897316</v>
      </c>
      <c r="C294" s="2">
        <v>36.367477496082763</v>
      </c>
      <c r="AN294" s="3">
        <f t="shared" si="32"/>
        <v>1.7026828526758238</v>
      </c>
      <c r="AO294" s="3">
        <f t="shared" si="33"/>
        <v>40.578549277024749</v>
      </c>
    </row>
    <row r="295" spans="1:41" x14ac:dyDescent="0.3">
      <c r="A295" s="2">
        <v>0.4967672269322026</v>
      </c>
      <c r="B295" s="2">
        <v>35.541607315188422</v>
      </c>
      <c r="C295" s="2">
        <v>26.300977414829941</v>
      </c>
      <c r="AN295" s="3">
        <f t="shared" si="32"/>
        <v>105.46165308323248</v>
      </c>
      <c r="AO295" s="3">
        <f t="shared" si="33"/>
        <v>13.663155804555368</v>
      </c>
    </row>
    <row r="296" spans="1:41" x14ac:dyDescent="0.3">
      <c r="A296" s="2">
        <v>7.8094550133443628</v>
      </c>
      <c r="B296" s="2">
        <v>25.907166749753738</v>
      </c>
      <c r="C296" s="2">
        <v>20.314874979329609</v>
      </c>
      <c r="AN296" s="3">
        <f t="shared" si="32"/>
        <v>0.40324006017434189</v>
      </c>
      <c r="AO296" s="3">
        <f t="shared" si="33"/>
        <v>93.750284586155018</v>
      </c>
    </row>
    <row r="297" spans="1:41" x14ac:dyDescent="0.3">
      <c r="A297" s="2">
        <v>2.6858760019947572</v>
      </c>
      <c r="B297" s="2">
        <v>24.78497172834355</v>
      </c>
      <c r="C297" s="2">
        <v>34.468354508003237</v>
      </c>
      <c r="AN297" s="3">
        <f t="shared" si="32"/>
        <v>0.23734743442363207</v>
      </c>
      <c r="AO297" s="3">
        <f t="shared" si="33"/>
        <v>19.989898829747677</v>
      </c>
    </row>
    <row r="298" spans="1:41" x14ac:dyDescent="0.3">
      <c r="A298" s="2">
        <v>17.419833571880069</v>
      </c>
      <c r="B298" s="2">
        <v>21.79454195473933</v>
      </c>
      <c r="C298" s="2">
        <v>29.74100924316074</v>
      </c>
      <c r="AN298" s="3">
        <f t="shared" si="32"/>
        <v>12.093791737643265</v>
      </c>
      <c r="AO298" s="3">
        <f t="shared" si="33"/>
        <v>6.5709579176603583E-2</v>
      </c>
    </row>
    <row r="299" spans="1:41" x14ac:dyDescent="0.3">
      <c r="A299" s="2">
        <v>3.7430176993345472</v>
      </c>
      <c r="B299" s="2">
        <v>33.436569926380763</v>
      </c>
      <c r="C299" s="2">
        <v>37.009468464806993</v>
      </c>
      <c r="AN299" s="3">
        <f t="shared" si="32"/>
        <v>66.657672862448877</v>
      </c>
      <c r="AO299" s="3">
        <f t="shared" si="33"/>
        <v>49.169832840736021</v>
      </c>
    </row>
    <row r="300" spans="1:41" x14ac:dyDescent="0.3">
      <c r="A300" s="2">
        <v>0.63731447971020538</v>
      </c>
      <c r="B300" s="2">
        <v>23.831899715613972</v>
      </c>
      <c r="C300" s="2">
        <v>23.34160502334802</v>
      </c>
      <c r="AN300" s="3">
        <f t="shared" si="32"/>
        <v>2.0743349715497432</v>
      </c>
      <c r="AO300" s="3">
        <f t="shared" si="33"/>
        <v>44.298915114398746</v>
      </c>
    </row>
    <row r="301" spans="1:41" x14ac:dyDescent="0.3">
      <c r="A301" s="2">
        <v>5.564782844070729</v>
      </c>
      <c r="B301" s="2">
        <v>28.035813224327221</v>
      </c>
      <c r="C301" s="2">
        <v>29.56968030175409</v>
      </c>
      <c r="AN301" s="3">
        <f t="shared" si="32"/>
        <v>7.6378073808293649</v>
      </c>
      <c r="AO301" s="3">
        <f t="shared" si="33"/>
        <v>0.1828996950230794</v>
      </c>
    </row>
    <row r="302" spans="1:41" x14ac:dyDescent="0.3">
      <c r="A302" s="2">
        <v>4.7517740229332626</v>
      </c>
      <c r="B302" s="2">
        <v>21.561007018339708</v>
      </c>
      <c r="C302" s="2">
        <v>28.447684977802531</v>
      </c>
      <c r="AN302" s="3">
        <f t="shared" si="32"/>
        <v>13.772618536161318</v>
      </c>
      <c r="AO302" s="3">
        <f t="shared" si="33"/>
        <v>2.4014556088275345</v>
      </c>
    </row>
    <row r="303" spans="1:41" x14ac:dyDescent="0.3">
      <c r="A303" s="2">
        <v>8.8770628191983203</v>
      </c>
      <c r="B303" s="2">
        <v>27.229308394758789</v>
      </c>
      <c r="C303" s="2">
        <v>32.366053703258643</v>
      </c>
      <c r="AN303" s="3">
        <f t="shared" si="32"/>
        <v>3.8304498354768026</v>
      </c>
      <c r="AO303" s="3">
        <f t="shared" si="33"/>
        <v>5.6107665153501314</v>
      </c>
    </row>
    <row r="304" spans="1:41" x14ac:dyDescent="0.3">
      <c r="A304" s="2">
        <v>3.091173233940121</v>
      </c>
      <c r="B304" s="2">
        <v>25.631943105710739</v>
      </c>
      <c r="C304" s="2">
        <v>26.625009068853629</v>
      </c>
      <c r="AN304" s="3">
        <f t="shared" si="32"/>
        <v>0.12944755911411845</v>
      </c>
      <c r="AO304" s="3">
        <f t="shared" si="33"/>
        <v>11.372670141727539</v>
      </c>
    </row>
    <row r="305" spans="1:41" x14ac:dyDescent="0.3">
      <c r="A305" s="2">
        <v>8.2787488474190578</v>
      </c>
      <c r="B305" s="2">
        <v>29.817030520741429</v>
      </c>
      <c r="C305" s="2">
        <v>42.03186233802974</v>
      </c>
      <c r="AN305" s="3">
        <f t="shared" si="32"/>
        <v>20.655894485641102</v>
      </c>
      <c r="AO305" s="3">
        <f t="shared" si="33"/>
        <v>144.82953437015837</v>
      </c>
    </row>
    <row r="306" spans="1:41" x14ac:dyDescent="0.3">
      <c r="A306" s="2">
        <v>5.9394053407834457</v>
      </c>
      <c r="B306" s="2">
        <v>22.528162557613051</v>
      </c>
      <c r="C306" s="2">
        <v>32.32090295017003</v>
      </c>
      <c r="AN306" s="3">
        <f t="shared" si="32"/>
        <v>7.5294939282079101</v>
      </c>
      <c r="AO306" s="3">
        <f t="shared" si="33"/>
        <v>5.3989074168443176</v>
      </c>
    </row>
    <row r="307" spans="1:41" x14ac:dyDescent="0.3">
      <c r="A307" s="2">
        <v>0.79820923725054937</v>
      </c>
      <c r="B307" s="2">
        <v>27.795746191135301</v>
      </c>
      <c r="C307" s="2">
        <v>45.59080198870452</v>
      </c>
      <c r="AN307" s="3">
        <f t="shared" si="32"/>
        <v>6.3685130477995564</v>
      </c>
      <c r="AO307" s="3">
        <f t="shared" si="33"/>
        <v>243.15580602533012</v>
      </c>
    </row>
    <row r="308" spans="1:41" x14ac:dyDescent="0.3">
      <c r="A308" s="2">
        <v>10.89309947305623</v>
      </c>
      <c r="B308" s="2">
        <v>29.011739340479</v>
      </c>
      <c r="C308" s="2">
        <v>26.128324019569401</v>
      </c>
      <c r="AN308" s="3">
        <f t="shared" si="32"/>
        <v>13.984491851348714</v>
      </c>
      <c r="AO308" s="3">
        <f t="shared" si="33"/>
        <v>14.969346876881456</v>
      </c>
    </row>
    <row r="309" spans="1:41" x14ac:dyDescent="0.3">
      <c r="A309" s="2">
        <v>12.0258082177735</v>
      </c>
      <c r="B309" s="2">
        <v>28.845850601695432</v>
      </c>
      <c r="C309" s="2">
        <v>29.055088846665459</v>
      </c>
      <c r="AN309" s="3">
        <f t="shared" si="32"/>
        <v>12.771301029358925</v>
      </c>
      <c r="AO309" s="3">
        <f t="shared" si="33"/>
        <v>0.88785238893644802</v>
      </c>
    </row>
    <row r="310" spans="1:41" x14ac:dyDescent="0.3">
      <c r="A310" s="2">
        <v>10.61139811045383</v>
      </c>
      <c r="B310" s="2">
        <v>32.691405366200158</v>
      </c>
      <c r="C310" s="2">
        <v>26.036520293130739</v>
      </c>
      <c r="AN310" s="3">
        <f t="shared" si="32"/>
        <v>55.045277606939941</v>
      </c>
      <c r="AO310" s="3">
        <f t="shared" si="33"/>
        <v>15.688156446729343</v>
      </c>
    </row>
    <row r="311" spans="1:41" x14ac:dyDescent="0.3">
      <c r="A311" s="2">
        <v>18.566690366071679</v>
      </c>
      <c r="B311" s="2">
        <v>30.30834248258817</v>
      </c>
      <c r="C311" s="2">
        <v>31.864545807643999</v>
      </c>
      <c r="AN311" s="3">
        <f t="shared" si="32"/>
        <v>25.363185453038714</v>
      </c>
      <c r="AO311" s="3">
        <f t="shared" si="33"/>
        <v>3.4864275004965699</v>
      </c>
    </row>
    <row r="312" spans="1:41" x14ac:dyDescent="0.3">
      <c r="A312" s="2">
        <v>12.926701008213859</v>
      </c>
      <c r="B312" s="2">
        <v>23.647226900346009</v>
      </c>
      <c r="C312" s="2">
        <v>36.978029096250353</v>
      </c>
      <c r="AN312" s="3">
        <f t="shared" si="32"/>
        <v>2.6403909763040225</v>
      </c>
      <c r="AO312" s="3">
        <f t="shared" si="33"/>
        <v>48.729907997883643</v>
      </c>
    </row>
    <row r="313" spans="1:41" x14ac:dyDescent="0.3">
      <c r="A313" s="2">
        <v>3.3691804610879301</v>
      </c>
      <c r="B313" s="2">
        <v>27.374593778436591</v>
      </c>
      <c r="C313" s="2">
        <v>24.502577234043191</v>
      </c>
      <c r="AN313" s="3">
        <f t="shared" si="32"/>
        <v>4.4202492734736003</v>
      </c>
      <c r="AO313" s="3">
        <f t="shared" si="33"/>
        <v>30.192506218818213</v>
      </c>
    </row>
    <row r="314" spans="1:41" x14ac:dyDescent="0.3">
      <c r="A314" s="2">
        <v>1.6569350044498889</v>
      </c>
      <c r="B314" s="2">
        <v>21.539272650820571</v>
      </c>
      <c r="C314" s="2">
        <v>38.647324219627521</v>
      </c>
      <c r="AN314" s="3">
        <f t="shared" si="32"/>
        <v>13.934409822477274</v>
      </c>
      <c r="AO314" s="3">
        <f t="shared" si="33"/>
        <v>74.82208789423423</v>
      </c>
    </row>
    <row r="315" spans="1:41" x14ac:dyDescent="0.3">
      <c r="A315" s="2">
        <v>12.7697022206406</v>
      </c>
      <c r="B315" s="2">
        <v>27.224894177871839</v>
      </c>
      <c r="C315" s="2">
        <v>19.437646305838388</v>
      </c>
      <c r="AN315" s="3">
        <f t="shared" si="32"/>
        <v>3.813190720698294</v>
      </c>
      <c r="AO315" s="3">
        <f t="shared" si="33"/>
        <v>111.50730073141149</v>
      </c>
    </row>
    <row r="316" spans="1:41" x14ac:dyDescent="0.3">
      <c r="A316" s="2">
        <v>6.7015131785599182</v>
      </c>
      <c r="B316" s="2">
        <v>24.463877758790211</v>
      </c>
      <c r="C316" s="2">
        <v>31.991256638542161</v>
      </c>
      <c r="AN316" s="3">
        <f t="shared" si="32"/>
        <v>0.65331192319603615</v>
      </c>
      <c r="AO316" s="3">
        <f t="shared" si="33"/>
        <v>3.9756714961387409</v>
      </c>
    </row>
    <row r="317" spans="1:41" x14ac:dyDescent="0.3">
      <c r="A317" s="2">
        <v>0.2186993744880133</v>
      </c>
      <c r="B317" s="2">
        <v>17.60069599379927</v>
      </c>
      <c r="C317" s="2">
        <v>29.439653637306119</v>
      </c>
      <c r="AN317" s="3">
        <f t="shared" si="32"/>
        <v>58.851281618489821</v>
      </c>
      <c r="AO317" s="3">
        <f t="shared" si="33"/>
        <v>0.3110230476915764</v>
      </c>
    </row>
    <row r="318" spans="1:41" x14ac:dyDescent="0.3">
      <c r="A318" s="2">
        <v>2.4016216463298652</v>
      </c>
      <c r="B318" s="2">
        <v>28.581020660608129</v>
      </c>
      <c r="C318" s="2">
        <v>24.377566669183341</v>
      </c>
      <c r="AN318" s="3">
        <f t="shared" si="32"/>
        <v>10.948592678243756</v>
      </c>
      <c r="AO318" s="3">
        <f t="shared" si="33"/>
        <v>31.581942664801662</v>
      </c>
    </row>
    <row r="319" spans="1:41" x14ac:dyDescent="0.3">
      <c r="A319" s="2">
        <v>4.151950581053085</v>
      </c>
      <c r="B319" s="2">
        <v>20.29402577267356</v>
      </c>
      <c r="C319" s="2">
        <v>32.126573436626003</v>
      </c>
      <c r="AN319" s="3">
        <f t="shared" si="32"/>
        <v>24.781769523304163</v>
      </c>
      <c r="AO319" s="3">
        <f t="shared" si="33"/>
        <v>4.5336007862182583</v>
      </c>
    </row>
    <row r="320" spans="1:41" x14ac:dyDescent="0.3">
      <c r="A320" s="2">
        <v>23.68888195577069</v>
      </c>
      <c r="B320" s="2">
        <v>21.66498388612969</v>
      </c>
      <c r="C320" s="2">
        <v>22.273842591325369</v>
      </c>
      <c r="AN320" s="3">
        <f t="shared" si="32"/>
        <v>13.011682661691845</v>
      </c>
      <c r="AO320" s="3">
        <f t="shared" si="33"/>
        <v>59.652536428108363</v>
      </c>
    </row>
    <row r="321" spans="1:41" x14ac:dyDescent="0.3">
      <c r="A321" s="2">
        <v>9.5108652729441232</v>
      </c>
      <c r="B321" s="2">
        <v>27.921528911359189</v>
      </c>
      <c r="C321" s="2">
        <v>29.35248338509458</v>
      </c>
      <c r="AN321" s="3">
        <f t="shared" si="32"/>
        <v>7.0191826973196063</v>
      </c>
      <c r="AO321" s="3">
        <f t="shared" si="33"/>
        <v>0.41585042418174789</v>
      </c>
    </row>
    <row r="322" spans="1:41" x14ac:dyDescent="0.3">
      <c r="A322" s="2">
        <v>2.6530647499510902</v>
      </c>
      <c r="B322" s="2">
        <v>29.9689677902116</v>
      </c>
      <c r="C322" s="2">
        <v>26.0159127962309</v>
      </c>
      <c r="AN322" s="3">
        <f t="shared" si="32"/>
        <v>22.060051405884405</v>
      </c>
      <c r="AO322" s="3">
        <f t="shared" si="33"/>
        <v>15.851826606719715</v>
      </c>
    </row>
    <row r="323" spans="1:41" x14ac:dyDescent="0.3">
      <c r="A323" s="2">
        <v>3.292899795732696</v>
      </c>
      <c r="B323" s="2">
        <v>25.010930015363719</v>
      </c>
      <c r="C323" s="2">
        <v>32.555935973943917</v>
      </c>
      <c r="AN323" s="3">
        <f t="shared" ref="AN323:AN386" si="34">(B323-$AK$2)^2</f>
        <v>6.8238435891239513E-2</v>
      </c>
      <c r="AO323" s="3">
        <f t="shared" ref="AO323:AO386" si="35">(C323-$AK$3)^2</f>
        <v>6.546372211615072</v>
      </c>
    </row>
    <row r="324" spans="1:41" x14ac:dyDescent="0.3">
      <c r="A324" s="2">
        <v>0.62050848020378069</v>
      </c>
      <c r="B324" s="2">
        <v>12.472368280901909</v>
      </c>
      <c r="C324" s="2">
        <v>33.941712787114078</v>
      </c>
      <c r="AN324" s="3">
        <f t="shared" si="34"/>
        <v>163.83453727580857</v>
      </c>
      <c r="AO324" s="3">
        <f t="shared" si="35"/>
        <v>15.558013251942825</v>
      </c>
    </row>
    <row r="325" spans="1:41" x14ac:dyDescent="0.3">
      <c r="A325" s="2">
        <v>1.330520750893909</v>
      </c>
      <c r="B325" s="2">
        <v>20.70723752013517</v>
      </c>
      <c r="C325" s="2">
        <v>30.495297491213641</v>
      </c>
      <c r="AN325" s="3">
        <f t="shared" si="34"/>
        <v>20.838470607018344</v>
      </c>
      <c r="AO325" s="3">
        <f t="shared" si="35"/>
        <v>0.24795365516440757</v>
      </c>
    </row>
    <row r="326" spans="1:41" x14ac:dyDescent="0.3">
      <c r="A326" s="2">
        <v>9.3527115607800084</v>
      </c>
      <c r="B326" s="2">
        <v>19.485018905897931</v>
      </c>
      <c r="C326" s="2">
        <v>27.81400480673009</v>
      </c>
      <c r="AN326" s="3">
        <f t="shared" si="34"/>
        <v>33.490942915381304</v>
      </c>
      <c r="AO326" s="3">
        <f t="shared" si="35"/>
        <v>4.7669876777713069</v>
      </c>
    </row>
    <row r="327" spans="1:41" x14ac:dyDescent="0.3">
      <c r="A327" s="2">
        <v>0.70955856223246649</v>
      </c>
      <c r="B327" s="2">
        <v>32.609876506229703</v>
      </c>
      <c r="C327" s="2">
        <v>35.803628087214577</v>
      </c>
      <c r="AN327" s="3">
        <f t="shared" si="34"/>
        <v>53.8421584958663</v>
      </c>
      <c r="AO327" s="3">
        <f t="shared" si="35"/>
        <v>33.712887977358946</v>
      </c>
    </row>
    <row r="328" spans="1:41" x14ac:dyDescent="0.3">
      <c r="A328" s="2">
        <v>12.091906163036301</v>
      </c>
      <c r="B328" s="2">
        <v>28.90170762616394</v>
      </c>
      <c r="C328" s="2">
        <v>29.94494347558707</v>
      </c>
      <c r="AN328" s="3">
        <f t="shared" si="34"/>
        <v>13.17365305400071</v>
      </c>
      <c r="AO328" s="3">
        <f t="shared" si="35"/>
        <v>2.7462384554550398E-3</v>
      </c>
    </row>
    <row r="329" spans="1:41" x14ac:dyDescent="0.3">
      <c r="A329" s="2">
        <v>24.707686513652039</v>
      </c>
      <c r="B329" s="2">
        <v>28.3159975096479</v>
      </c>
      <c r="C329" s="2">
        <v>32.331982435009863</v>
      </c>
      <c r="AN329" s="3">
        <f t="shared" si="34"/>
        <v>9.2649778843002064</v>
      </c>
      <c r="AO329" s="3">
        <f t="shared" si="35"/>
        <v>5.4505177546143386</v>
      </c>
    </row>
    <row r="330" spans="1:41" x14ac:dyDescent="0.3">
      <c r="A330" s="2">
        <v>0.98183281441243564</v>
      </c>
      <c r="B330" s="2">
        <v>28.930650096613949</v>
      </c>
      <c r="C330" s="2">
        <v>26.889548109609169</v>
      </c>
      <c r="AN330" s="3">
        <f t="shared" si="34"/>
        <v>13.384587166138322</v>
      </c>
      <c r="AO330" s="3">
        <f t="shared" si="35"/>
        <v>9.6584204123274553</v>
      </c>
    </row>
    <row r="331" spans="1:41" x14ac:dyDescent="0.3">
      <c r="A331" s="2">
        <v>0.29576589382959367</v>
      </c>
      <c r="B331" s="2">
        <v>23.537664654848339</v>
      </c>
      <c r="C331" s="2">
        <v>32.128223495688673</v>
      </c>
      <c r="AN331" s="3">
        <f t="shared" si="34"/>
        <v>3.0084563808993332</v>
      </c>
      <c r="AO331" s="3">
        <f t="shared" si="35"/>
        <v>4.540630204234855</v>
      </c>
    </row>
    <row r="332" spans="1:41" x14ac:dyDescent="0.3">
      <c r="A332" s="2">
        <v>3.342739813612094</v>
      </c>
      <c r="B332" s="2">
        <v>28.83756216031157</v>
      </c>
      <c r="C332" s="2">
        <v>36.64571797539427</v>
      </c>
      <c r="AN332" s="3">
        <f t="shared" si="34"/>
        <v>12.712128992783404</v>
      </c>
      <c r="AO332" s="3">
        <f t="shared" si="35"/>
        <v>44.200822787179099</v>
      </c>
    </row>
    <row r="333" spans="1:41" x14ac:dyDescent="0.3">
      <c r="A333" s="2">
        <v>14.56848444124328</v>
      </c>
      <c r="B333" s="2">
        <v>14.093201002833011</v>
      </c>
      <c r="C333" s="2">
        <v>30.928603399908599</v>
      </c>
      <c r="AN333" s="3">
        <f t="shared" si="34"/>
        <v>124.96901004403659</v>
      </c>
      <c r="AO333" s="3">
        <f t="shared" si="35"/>
        <v>0.86723654386317561</v>
      </c>
    </row>
    <row r="334" spans="1:41" x14ac:dyDescent="0.3">
      <c r="A334" s="2">
        <v>9.043023274136873</v>
      </c>
      <c r="B334" s="2">
        <v>23.73949033662484</v>
      </c>
      <c r="C334" s="2">
        <v>26.707396164395899</v>
      </c>
      <c r="AN334" s="3">
        <f t="shared" si="34"/>
        <v>2.34906063764643</v>
      </c>
      <c r="AO334" s="3">
        <f t="shared" si="35"/>
        <v>10.823783349073629</v>
      </c>
    </row>
    <row r="335" spans="1:41" x14ac:dyDescent="0.3">
      <c r="A335" s="2">
        <v>2.205860042592465</v>
      </c>
      <c r="B335" s="2">
        <v>27.374609331883779</v>
      </c>
      <c r="C335" s="2">
        <v>30.869768994480062</v>
      </c>
      <c r="AN335" s="3">
        <f t="shared" si="34"/>
        <v>4.4203146740598989</v>
      </c>
      <c r="AO335" s="3">
        <f t="shared" si="35"/>
        <v>0.76111832041505267</v>
      </c>
    </row>
    <row r="336" spans="1:41" x14ac:dyDescent="0.3">
      <c r="A336" s="2">
        <v>7.4522416023627294</v>
      </c>
      <c r="B336" s="2">
        <v>32.683866376809704</v>
      </c>
      <c r="C336" s="2">
        <v>31.608158188634171</v>
      </c>
      <c r="AN336" s="3">
        <f t="shared" si="34"/>
        <v>54.933467142072587</v>
      </c>
      <c r="AO336" s="3">
        <f t="shared" si="35"/>
        <v>2.5947093323563575</v>
      </c>
    </row>
    <row r="337" spans="1:41" x14ac:dyDescent="0.3">
      <c r="A337" s="2">
        <v>8.6922382901861202</v>
      </c>
      <c r="B337" s="2">
        <v>28.86778891751614</v>
      </c>
      <c r="C337" s="2">
        <v>27.159842685014951</v>
      </c>
      <c r="AN337" s="3">
        <f t="shared" si="34"/>
        <v>12.928584049336513</v>
      </c>
      <c r="AO337" s="3">
        <f t="shared" si="35"/>
        <v>8.0514366441250207</v>
      </c>
    </row>
    <row r="338" spans="1:41" x14ac:dyDescent="0.3">
      <c r="A338" s="2">
        <v>4.8038175921598718</v>
      </c>
      <c r="B338" s="2">
        <v>25.364772777003559</v>
      </c>
      <c r="C338" s="2">
        <v>21.734003232647229</v>
      </c>
      <c r="AN338" s="3">
        <f t="shared" si="34"/>
        <v>8.578072722658198E-3</v>
      </c>
      <c r="AO338" s="3">
        <f t="shared" si="35"/>
        <v>68.282867418472478</v>
      </c>
    </row>
    <row r="339" spans="1:41" x14ac:dyDescent="0.3">
      <c r="A339" s="2">
        <v>9.6832729912274615</v>
      </c>
      <c r="B339" s="2">
        <v>26.445981334615759</v>
      </c>
      <c r="C339" s="2">
        <v>34.03535981905322</v>
      </c>
      <c r="AN339" s="3">
        <f t="shared" si="34"/>
        <v>1.3778685186529478</v>
      </c>
      <c r="AO339" s="3">
        <f t="shared" si="35"/>
        <v>16.3055391212887</v>
      </c>
    </row>
    <row r="340" spans="1:41" x14ac:dyDescent="0.3">
      <c r="A340" s="2">
        <v>4.2958846124494192</v>
      </c>
      <c r="B340" s="2">
        <v>23.987474346042259</v>
      </c>
      <c r="C340" s="2">
        <v>35.243838953437347</v>
      </c>
      <c r="AN340" s="3">
        <f t="shared" si="34"/>
        <v>1.6504041037734598</v>
      </c>
      <c r="AO340" s="3">
        <f t="shared" si="35"/>
        <v>27.525666896356341</v>
      </c>
    </row>
    <row r="341" spans="1:41" x14ac:dyDescent="0.3">
      <c r="A341" s="2">
        <v>0.62676291257469852</v>
      </c>
      <c r="B341" s="2">
        <v>23.666204122691141</v>
      </c>
      <c r="C341" s="2">
        <v>39.94133037897722</v>
      </c>
      <c r="AN341" s="3">
        <f t="shared" si="34"/>
        <v>2.5790778717075811</v>
      </c>
      <c r="AO341" s="3">
        <f t="shared" si="35"/>
        <v>98.882784741923786</v>
      </c>
    </row>
    <row r="342" spans="1:41" x14ac:dyDescent="0.3">
      <c r="A342" s="2">
        <v>14.1201968721372</v>
      </c>
      <c r="B342" s="2">
        <v>24.610393222010899</v>
      </c>
      <c r="C342" s="2">
        <v>29.855924980758552</v>
      </c>
      <c r="AN342" s="3">
        <f t="shared" si="34"/>
        <v>0.43792850715135806</v>
      </c>
      <c r="AO342" s="3">
        <f t="shared" si="35"/>
        <v>2.0000481912293637E-2</v>
      </c>
    </row>
    <row r="343" spans="1:41" x14ac:dyDescent="0.3">
      <c r="A343" s="2">
        <v>6.2294589879281457</v>
      </c>
      <c r="B343" s="2">
        <v>33.539962000206877</v>
      </c>
      <c r="C343" s="2">
        <v>39.255694685192509</v>
      </c>
      <c r="AN343" s="3">
        <f t="shared" si="34"/>
        <v>68.356634387454193</v>
      </c>
      <c r="AO343" s="3">
        <f t="shared" si="35"/>
        <v>85.71698258768123</v>
      </c>
    </row>
    <row r="344" spans="1:41" x14ac:dyDescent="0.3">
      <c r="A344" s="2">
        <v>6.060688344833367</v>
      </c>
      <c r="B344" s="2">
        <v>26.464440120578981</v>
      </c>
      <c r="C344" s="2">
        <v>27.316779023994641</v>
      </c>
      <c r="AN344" s="3">
        <f t="shared" si="34"/>
        <v>1.4215440675765689</v>
      </c>
      <c r="AO344" s="3">
        <f t="shared" si="35"/>
        <v>7.1854502538721343</v>
      </c>
    </row>
    <row r="345" spans="1:41" x14ac:dyDescent="0.3">
      <c r="A345" s="2">
        <v>6.5828440198664104</v>
      </c>
      <c r="B345" s="2">
        <v>17.242048947257249</v>
      </c>
      <c r="C345" s="2">
        <v>34.28411838124557</v>
      </c>
      <c r="AN345" s="3">
        <f t="shared" si="34"/>
        <v>64.482601475111821</v>
      </c>
      <c r="AO345" s="3">
        <f t="shared" si="35"/>
        <v>18.37639995169938</v>
      </c>
    </row>
    <row r="346" spans="1:41" x14ac:dyDescent="0.3">
      <c r="A346" s="2">
        <v>3.851448576460164</v>
      </c>
      <c r="B346" s="2">
        <v>33.518479203129282</v>
      </c>
      <c r="C346" s="2">
        <v>23.776025346687248</v>
      </c>
      <c r="AN346" s="3">
        <f t="shared" si="34"/>
        <v>68.001864653236609</v>
      </c>
      <c r="AO346" s="3">
        <f t="shared" si="35"/>
        <v>38.704856064317823</v>
      </c>
    </row>
    <row r="347" spans="1:41" x14ac:dyDescent="0.3">
      <c r="A347" s="2">
        <v>37.720109424845063</v>
      </c>
      <c r="B347" s="2">
        <v>19.99032017471859</v>
      </c>
      <c r="C347" s="2">
        <v>27.304274104616361</v>
      </c>
      <c r="AN347" s="3">
        <f t="shared" si="34"/>
        <v>27.897777974969191</v>
      </c>
      <c r="AO347" s="3">
        <f t="shared" si="35"/>
        <v>7.2526472257669958</v>
      </c>
    </row>
    <row r="348" spans="1:41" x14ac:dyDescent="0.3">
      <c r="A348" s="2">
        <v>0.81921444696152146</v>
      </c>
      <c r="B348" s="2">
        <v>22.18461831089466</v>
      </c>
      <c r="C348" s="2">
        <v>30.629629164103399</v>
      </c>
      <c r="AN348" s="3">
        <f t="shared" si="34"/>
        <v>9.5328821363258314</v>
      </c>
      <c r="AO348" s="3">
        <f t="shared" si="35"/>
        <v>0.39977941888220203</v>
      </c>
    </row>
    <row r="349" spans="1:41" x14ac:dyDescent="0.3">
      <c r="A349" s="2">
        <v>7.4698232361213783</v>
      </c>
      <c r="B349" s="2">
        <v>27.588623039909809</v>
      </c>
      <c r="C349" s="2">
        <v>25.511068866328589</v>
      </c>
      <c r="AN349" s="3">
        <f t="shared" si="34"/>
        <v>5.366024682784948</v>
      </c>
      <c r="AO349" s="3">
        <f t="shared" si="35"/>
        <v>20.126700831321468</v>
      </c>
    </row>
    <row r="350" spans="1:41" x14ac:dyDescent="0.3">
      <c r="A350" s="2">
        <v>13.974485481462381</v>
      </c>
      <c r="B350" s="2">
        <v>26.625677774581721</v>
      </c>
      <c r="C350" s="2">
        <v>30.303094041604211</v>
      </c>
      <c r="AN350" s="3">
        <f t="shared" si="34"/>
        <v>1.8320241951355749</v>
      </c>
      <c r="AO350" s="3">
        <f t="shared" si="35"/>
        <v>9.3480617006025196E-2</v>
      </c>
    </row>
    <row r="351" spans="1:41" x14ac:dyDescent="0.3">
      <c r="A351" s="2">
        <v>13.996766084665779</v>
      </c>
      <c r="B351" s="2">
        <v>29.374542816341609</v>
      </c>
      <c r="C351" s="2">
        <v>30.03254499238999</v>
      </c>
      <c r="AN351" s="3">
        <f t="shared" si="34"/>
        <v>16.829586686218796</v>
      </c>
      <c r="AO351" s="3">
        <f t="shared" si="35"/>
        <v>1.2388254010273973E-3</v>
      </c>
    </row>
    <row r="352" spans="1:41" x14ac:dyDescent="0.3">
      <c r="A352" s="2">
        <v>4.6767839533666873</v>
      </c>
      <c r="B352" s="2">
        <v>35.205666469036558</v>
      </c>
      <c r="C352" s="2">
        <v>30.127271228464981</v>
      </c>
      <c r="AN352" s="3">
        <f t="shared" si="34"/>
        <v>98.674652261858071</v>
      </c>
      <c r="AO352" s="3">
        <f t="shared" si="35"/>
        <v>1.6880034692288836E-2</v>
      </c>
    </row>
    <row r="353" spans="1:41" x14ac:dyDescent="0.3">
      <c r="A353" s="2">
        <v>20.262053526564561</v>
      </c>
      <c r="B353" s="2">
        <v>30.632340393667089</v>
      </c>
      <c r="C353" s="2">
        <v>39.618808338252492</v>
      </c>
      <c r="AN353" s="3">
        <f t="shared" si="34"/>
        <v>28.731588618076763</v>
      </c>
      <c r="AO353" s="3">
        <f t="shared" si="35"/>
        <v>92.572498255399736</v>
      </c>
    </row>
    <row r="354" spans="1:41" x14ac:dyDescent="0.3">
      <c r="A354" s="2">
        <v>2.4935334607976301</v>
      </c>
      <c r="B354" s="2">
        <v>13.569464312632549</v>
      </c>
      <c r="C354" s="2">
        <v>41.97290310438796</v>
      </c>
      <c r="AN354" s="3">
        <f t="shared" si="34"/>
        <v>136.95296678376434</v>
      </c>
      <c r="AO354" s="3">
        <f t="shared" si="35"/>
        <v>143.41391908095895</v>
      </c>
    </row>
    <row r="355" spans="1:41" x14ac:dyDescent="0.3">
      <c r="A355" s="2">
        <v>10.47535758241197</v>
      </c>
      <c r="B355" s="2">
        <v>25.578429952632462</v>
      </c>
      <c r="C355" s="2">
        <v>29.955931033212909</v>
      </c>
      <c r="AN355" s="3">
        <f t="shared" si="34"/>
        <v>9.3804413096520725E-2</v>
      </c>
      <c r="AO355" s="3">
        <f t="shared" si="35"/>
        <v>1.7153685177053171E-3</v>
      </c>
    </row>
    <row r="356" spans="1:41" x14ac:dyDescent="0.3">
      <c r="A356" s="2">
        <v>22.046499837798141</v>
      </c>
      <c r="B356" s="2">
        <v>22.540945549331418</v>
      </c>
      <c r="C356" s="2">
        <v>30.20078606590328</v>
      </c>
      <c r="AN356" s="3">
        <f t="shared" si="34"/>
        <v>7.459504470527536</v>
      </c>
      <c r="AO356" s="3">
        <f t="shared" si="35"/>
        <v>4.1387030056762628E-2</v>
      </c>
    </row>
    <row r="357" spans="1:41" x14ac:dyDescent="0.3">
      <c r="A357" s="2">
        <v>0.25889639401372722</v>
      </c>
      <c r="B357" s="2">
        <v>19.554719991745031</v>
      </c>
      <c r="C357" s="2">
        <v>31.827815825552669</v>
      </c>
      <c r="AN357" s="3">
        <f t="shared" si="34"/>
        <v>32.689061832472632</v>
      </c>
      <c r="AO357" s="3">
        <f t="shared" si="35"/>
        <v>3.3506123110069046</v>
      </c>
    </row>
    <row r="358" spans="1:41" x14ac:dyDescent="0.3">
      <c r="A358" s="2">
        <v>0.60389263244459934</v>
      </c>
      <c r="B358" s="2">
        <v>23.345362912146118</v>
      </c>
      <c r="C358" s="2">
        <v>33.941733543177939</v>
      </c>
      <c r="AN358" s="3">
        <f t="shared" si="34"/>
        <v>3.7125273315462572</v>
      </c>
      <c r="AO358" s="3">
        <f t="shared" si="35"/>
        <v>15.558176991346773</v>
      </c>
    </row>
    <row r="359" spans="1:41" x14ac:dyDescent="0.3">
      <c r="A359" s="2">
        <v>7.4534001644639103</v>
      </c>
      <c r="B359" s="2">
        <v>20.57628684102923</v>
      </c>
      <c r="C359" s="2">
        <v>31.791261023940599</v>
      </c>
      <c r="AN359" s="3">
        <f t="shared" si="34"/>
        <v>22.051176747051489</v>
      </c>
      <c r="AO359" s="3">
        <f t="shared" si="35"/>
        <v>3.2181237910701737</v>
      </c>
    </row>
    <row r="360" spans="1:41" x14ac:dyDescent="0.3">
      <c r="A360" s="2">
        <v>0.68402203196395384</v>
      </c>
      <c r="B360" s="2">
        <v>25.006603508982479</v>
      </c>
      <c r="C360" s="2">
        <v>32.406790723787537</v>
      </c>
      <c r="AN360" s="3">
        <f t="shared" si="34"/>
        <v>7.0517536735440131E-2</v>
      </c>
      <c r="AO360" s="3">
        <f t="shared" si="35"/>
        <v>5.805414042588442</v>
      </c>
    </row>
    <row r="361" spans="1:41" x14ac:dyDescent="0.3">
      <c r="A361" s="2">
        <v>7.736664442680258</v>
      </c>
      <c r="B361" s="2">
        <v>23.759945641994431</v>
      </c>
      <c r="C361" s="2">
        <v>36.482984918006878</v>
      </c>
      <c r="AN361" s="3">
        <f t="shared" si="34"/>
        <v>2.2867768141676117</v>
      </c>
      <c r="AO361" s="3">
        <f t="shared" si="35"/>
        <v>42.063485702948796</v>
      </c>
    </row>
    <row r="362" spans="1:41" x14ac:dyDescent="0.3">
      <c r="A362" s="2">
        <v>29.71076145040411</v>
      </c>
      <c r="B362" s="2">
        <v>31.15264761109648</v>
      </c>
      <c r="C362" s="2">
        <v>25.029128721000571</v>
      </c>
      <c r="AN362" s="3">
        <f t="shared" si="34"/>
        <v>34.580194625703896</v>
      </c>
      <c r="AO362" s="3">
        <f t="shared" si="35"/>
        <v>24.683203209656632</v>
      </c>
    </row>
    <row r="363" spans="1:41" x14ac:dyDescent="0.3">
      <c r="A363" s="2">
        <v>63.826695118832262</v>
      </c>
      <c r="B363" s="2">
        <v>21.480151212553029</v>
      </c>
      <c r="C363" s="2">
        <v>29.608794443238789</v>
      </c>
      <c r="AN363" s="3">
        <f t="shared" si="34"/>
        <v>14.379291900839974</v>
      </c>
      <c r="AO363" s="3">
        <f t="shared" si="35"/>
        <v>0.15097389817997517</v>
      </c>
    </row>
    <row r="364" spans="1:41" x14ac:dyDescent="0.3">
      <c r="A364" s="2">
        <v>2.8528805524804079</v>
      </c>
      <c r="B364" s="2">
        <v>20.261729078500309</v>
      </c>
      <c r="C364" s="2">
        <v>29.111619890904919</v>
      </c>
      <c r="AN364" s="3">
        <f t="shared" si="34"/>
        <v>25.104366827167453</v>
      </c>
      <c r="AO364" s="3">
        <f t="shared" si="35"/>
        <v>0.78451435552161453</v>
      </c>
    </row>
    <row r="365" spans="1:41" x14ac:dyDescent="0.3">
      <c r="A365" s="2">
        <v>6.2987835784075772</v>
      </c>
      <c r="B365" s="2">
        <v>18.268547410073051</v>
      </c>
      <c r="C365" s="2">
        <v>25.543716056643142</v>
      </c>
      <c r="AN365" s="3">
        <f t="shared" si="34"/>
        <v>49.050517753331796</v>
      </c>
      <c r="AO365" s="3">
        <f t="shared" si="35"/>
        <v>19.834837850330356</v>
      </c>
    </row>
    <row r="366" spans="1:41" x14ac:dyDescent="0.3">
      <c r="A366" s="2">
        <v>5.8264201940793194</v>
      </c>
      <c r="B366" s="2">
        <v>21.12793820686268</v>
      </c>
      <c r="C366" s="2">
        <v>25.005580890986678</v>
      </c>
      <c r="AN366" s="3">
        <f t="shared" si="34"/>
        <v>17.174531928890396</v>
      </c>
      <c r="AO366" s="3">
        <f t="shared" si="35"/>
        <v>24.91773927798388</v>
      </c>
    </row>
    <row r="367" spans="1:41" x14ac:dyDescent="0.3">
      <c r="A367" s="2">
        <v>0.60884429924281991</v>
      </c>
      <c r="B367" s="2">
        <v>22.43621240364115</v>
      </c>
      <c r="C367" s="2">
        <v>27.797099177938609</v>
      </c>
      <c r="AN367" s="3">
        <f t="shared" si="34"/>
        <v>8.0425697942131524</v>
      </c>
      <c r="AO367" s="3">
        <f t="shared" si="35"/>
        <v>4.8410950585353918</v>
      </c>
    </row>
    <row r="368" spans="1:41" x14ac:dyDescent="0.3">
      <c r="A368" s="2">
        <v>1.2196143258551699</v>
      </c>
      <c r="B368" s="2">
        <v>21.156329262970949</v>
      </c>
      <c r="C368" s="2">
        <v>32.168920438940489</v>
      </c>
      <c r="AN368" s="3">
        <f t="shared" si="34"/>
        <v>16.940020604122914</v>
      </c>
      <c r="AO368" s="3">
        <f t="shared" si="35"/>
        <v>4.7157266803532512</v>
      </c>
    </row>
    <row r="369" spans="1:41" x14ac:dyDescent="0.3">
      <c r="A369" s="2">
        <v>32.836118046965403</v>
      </c>
      <c r="B369" s="2">
        <v>20.36432779970896</v>
      </c>
      <c r="C369" s="2">
        <v>34.177637413126398</v>
      </c>
      <c r="AN369" s="3">
        <f t="shared" si="34"/>
        <v>24.086766762520256</v>
      </c>
      <c r="AO369" s="3">
        <f t="shared" si="35"/>
        <v>17.474819236361189</v>
      </c>
    </row>
    <row r="370" spans="1:41" x14ac:dyDescent="0.3">
      <c r="A370" s="2">
        <v>6.2941953538731372</v>
      </c>
      <c r="B370" s="2">
        <v>26.200168532665408</v>
      </c>
      <c r="C370" s="2">
        <v>31.995707264976179</v>
      </c>
      <c r="AN370" s="3">
        <f t="shared" si="34"/>
        <v>0.86120931826430691</v>
      </c>
      <c r="AO370" s="3">
        <f t="shared" si="35"/>
        <v>3.993439588838624</v>
      </c>
    </row>
    <row r="371" spans="1:41" x14ac:dyDescent="0.3">
      <c r="A371" s="2">
        <v>5.3898560640757172</v>
      </c>
      <c r="B371" s="2">
        <v>26.854491229476171</v>
      </c>
      <c r="C371" s="2">
        <v>27.7903568390822</v>
      </c>
      <c r="AN371" s="3">
        <f t="shared" si="34"/>
        <v>2.5037882866081076</v>
      </c>
      <c r="AO371" s="3">
        <f t="shared" si="35"/>
        <v>4.8708101644723643</v>
      </c>
    </row>
    <row r="372" spans="1:41" x14ac:dyDescent="0.3">
      <c r="A372" s="2">
        <v>0.77232409657294843</v>
      </c>
      <c r="B372" s="2">
        <v>31.17492233861994</v>
      </c>
      <c r="C372" s="2">
        <v>34.047159117097038</v>
      </c>
      <c r="AN372" s="3">
        <f t="shared" si="34"/>
        <v>34.842663535257344</v>
      </c>
      <c r="AO372" s="3">
        <f t="shared" si="35"/>
        <v>16.400969753675081</v>
      </c>
    </row>
    <row r="373" spans="1:41" x14ac:dyDescent="0.3">
      <c r="A373" s="2">
        <v>1.388113681575434</v>
      </c>
      <c r="B373" s="2">
        <v>24.449557836052271</v>
      </c>
      <c r="C373" s="2">
        <v>31.007852484299161</v>
      </c>
      <c r="AN373" s="3">
        <f t="shared" si="34"/>
        <v>0.67666591556459121</v>
      </c>
      <c r="AO373" s="3">
        <f t="shared" si="35"/>
        <v>1.0211192303257852</v>
      </c>
    </row>
    <row r="374" spans="1:41" x14ac:dyDescent="0.3">
      <c r="A374" s="2">
        <v>1.379792734408462</v>
      </c>
      <c r="B374" s="2">
        <v>17.019279481662949</v>
      </c>
      <c r="C374" s="2">
        <v>35.529570182398473</v>
      </c>
      <c r="AN374" s="3">
        <f t="shared" si="34"/>
        <v>68.109952529624081</v>
      </c>
      <c r="AO374" s="3">
        <f t="shared" si="35"/>
        <v>30.605481823960844</v>
      </c>
    </row>
    <row r="375" spans="1:41" x14ac:dyDescent="0.3">
      <c r="A375" s="2">
        <v>4.2147497354637293</v>
      </c>
      <c r="B375" s="2">
        <v>22.62669841932647</v>
      </c>
      <c r="C375" s="2">
        <v>20.68914369991824</v>
      </c>
      <c r="AN375" s="3">
        <f t="shared" si="34"/>
        <v>6.9984399459503717</v>
      </c>
      <c r="AO375" s="3">
        <f t="shared" si="35"/>
        <v>86.642668051663122</v>
      </c>
    </row>
    <row r="376" spans="1:41" x14ac:dyDescent="0.3">
      <c r="A376" s="2">
        <v>0.117462568266939</v>
      </c>
      <c r="B376" s="2">
        <v>29.04936706101503</v>
      </c>
      <c r="C376" s="2">
        <v>23.659283686016771</v>
      </c>
      <c r="AN376" s="3">
        <f t="shared" si="34"/>
        <v>14.267331773838629</v>
      </c>
      <c r="AO376" s="3">
        <f t="shared" si="35"/>
        <v>40.1710597654099</v>
      </c>
    </row>
    <row r="377" spans="1:41" x14ac:dyDescent="0.3">
      <c r="A377" s="2">
        <v>0.28717937603720528</v>
      </c>
      <c r="B377" s="2">
        <v>25.900920036119949</v>
      </c>
      <c r="C377" s="2">
        <v>26.358977393351928</v>
      </c>
      <c r="AN377" s="3">
        <f t="shared" si="34"/>
        <v>0.39534560713991496</v>
      </c>
      <c r="AO377" s="3">
        <f t="shared" si="35"/>
        <v>13.237740968232449</v>
      </c>
    </row>
    <row r="378" spans="1:41" x14ac:dyDescent="0.3">
      <c r="A378" s="2">
        <v>4.6785721708840331</v>
      </c>
      <c r="B378" s="2">
        <v>26.761713270908071</v>
      </c>
      <c r="C378" s="2">
        <v>22.640536061919899</v>
      </c>
      <c r="AN378" s="3">
        <f t="shared" si="34"/>
        <v>2.2187841657855483</v>
      </c>
      <c r="AO378" s="3">
        <f t="shared" si="35"/>
        <v>54.122682492635697</v>
      </c>
    </row>
    <row r="379" spans="1:41" x14ac:dyDescent="0.3">
      <c r="A379" s="2">
        <v>11.92206558540544</v>
      </c>
      <c r="B379" s="2">
        <v>18.379451200468232</v>
      </c>
      <c r="C379" s="2">
        <v>29.583883998760822</v>
      </c>
      <c r="AN379" s="3">
        <f t="shared" si="34"/>
        <v>47.509364171804215</v>
      </c>
      <c r="AO379" s="3">
        <f t="shared" si="35"/>
        <v>0.17095251406173329</v>
      </c>
    </row>
    <row r="380" spans="1:41" x14ac:dyDescent="0.3">
      <c r="A380" s="2">
        <v>7.2654266347248289</v>
      </c>
      <c r="B380" s="2">
        <v>25.364901734168651</v>
      </c>
      <c r="C380" s="2">
        <v>27.454627610205591</v>
      </c>
      <c r="AN380" s="3">
        <f t="shared" si="34"/>
        <v>8.6019768325218265E-3</v>
      </c>
      <c r="AO380" s="3">
        <f t="shared" si="35"/>
        <v>6.465427188176716</v>
      </c>
    </row>
    <row r="381" spans="1:41" x14ac:dyDescent="0.3">
      <c r="A381" s="2">
        <v>19.08154904877955</v>
      </c>
      <c r="B381" s="2">
        <v>27.082081401985509</v>
      </c>
      <c r="C381" s="2">
        <v>36.591379918650631</v>
      </c>
      <c r="AN381" s="3">
        <f t="shared" si="34"/>
        <v>3.2758339735049677</v>
      </c>
      <c r="AO381" s="3">
        <f t="shared" si="35"/>
        <v>43.481256406072717</v>
      </c>
    </row>
    <row r="382" spans="1:41" x14ac:dyDescent="0.3">
      <c r="A382" s="2">
        <v>1.693276017910609</v>
      </c>
      <c r="B382" s="2">
        <v>23.943615315212639</v>
      </c>
      <c r="C382" s="2">
        <v>41.04644635889882</v>
      </c>
      <c r="AN382" s="3">
        <f t="shared" si="34"/>
        <v>1.7650174056541041</v>
      </c>
      <c r="AO382" s="3">
        <f t="shared" si="35"/>
        <v>122.08257364295115</v>
      </c>
    </row>
    <row r="383" spans="1:41" x14ac:dyDescent="0.3">
      <c r="A383" s="2">
        <v>58.572448965180079</v>
      </c>
      <c r="B383" s="2">
        <v>28.99138863801695</v>
      </c>
      <c r="C383" s="2">
        <v>23.320288967826919</v>
      </c>
      <c r="AN383" s="3">
        <f t="shared" si="34"/>
        <v>13.832699661532001</v>
      </c>
      <c r="AO383" s="3">
        <f t="shared" si="35"/>
        <v>44.583117864010219</v>
      </c>
    </row>
    <row r="384" spans="1:41" x14ac:dyDescent="0.3">
      <c r="A384" s="2">
        <v>9.6252492380752788</v>
      </c>
      <c r="B384" s="2">
        <v>24.577634830086669</v>
      </c>
      <c r="C384" s="2">
        <v>29.593163318870481</v>
      </c>
      <c r="AN384" s="3">
        <f t="shared" si="34"/>
        <v>0.48235811564927661</v>
      </c>
      <c r="AO384" s="3">
        <f t="shared" si="35"/>
        <v>0.16336528944354778</v>
      </c>
    </row>
    <row r="385" spans="1:41" x14ac:dyDescent="0.3">
      <c r="A385" s="2">
        <v>0.27637022415832491</v>
      </c>
      <c r="B385" s="2">
        <v>30.118573328251749</v>
      </c>
      <c r="C385" s="2">
        <v>25.714051164783889</v>
      </c>
      <c r="AN385" s="3">
        <f t="shared" si="34"/>
        <v>23.487771664480132</v>
      </c>
      <c r="AO385" s="3">
        <f t="shared" si="35"/>
        <v>18.3466321281138</v>
      </c>
    </row>
    <row r="386" spans="1:41" x14ac:dyDescent="0.3">
      <c r="A386" s="2">
        <v>4.0572209788236231</v>
      </c>
      <c r="B386" s="2">
        <v>25.13435242288487</v>
      </c>
      <c r="C386" s="2">
        <v>31.371146277854621</v>
      </c>
      <c r="AN386" s="3">
        <f t="shared" si="34"/>
        <v>1.898952034525319E-2</v>
      </c>
      <c r="AO386" s="3">
        <f t="shared" si="35"/>
        <v>1.887321596126549</v>
      </c>
    </row>
    <row r="387" spans="1:41" x14ac:dyDescent="0.3">
      <c r="A387" s="2">
        <v>7.7804714621889337</v>
      </c>
      <c r="B387" s="2">
        <v>25.86905880332332</v>
      </c>
      <c r="C387" s="2">
        <v>32.101330949788668</v>
      </c>
      <c r="AN387" s="3">
        <f t="shared" ref="AN387:AN450" si="36">(B387-$AK$2)^2</f>
        <v>0.35629427999836832</v>
      </c>
      <c r="AO387" s="3">
        <f t="shared" ref="AO387:AO450" si="37">(C387-$AK$3)^2</f>
        <v>4.4267440813044194</v>
      </c>
    </row>
    <row r="388" spans="1:41" x14ac:dyDescent="0.3">
      <c r="A388" s="2">
        <v>33.962904508870793</v>
      </c>
      <c r="B388" s="2">
        <v>15.347282294710631</v>
      </c>
      <c r="C388" s="2">
        <v>28.990484838231641</v>
      </c>
      <c r="AN388" s="3">
        <f t="shared" si="36"/>
        <v>98.503096061696013</v>
      </c>
      <c r="AO388" s="3">
        <f t="shared" si="37"/>
        <v>1.0137735086919546</v>
      </c>
    </row>
    <row r="389" spans="1:41" x14ac:dyDescent="0.3">
      <c r="A389" s="2">
        <v>12.00643110347297</v>
      </c>
      <c r="B389" s="2">
        <v>30.563887312356641</v>
      </c>
      <c r="C389" s="2">
        <v>32.411624446445082</v>
      </c>
      <c r="AN389" s="3">
        <f t="shared" si="36"/>
        <v>28.002432014374254</v>
      </c>
      <c r="AO389" s="3">
        <f t="shared" si="37"/>
        <v>5.8287305628407662</v>
      </c>
    </row>
    <row r="390" spans="1:41" x14ac:dyDescent="0.3">
      <c r="A390" s="2">
        <v>8.1707188003774718</v>
      </c>
      <c r="B390" s="2">
        <v>27.547217486716001</v>
      </c>
      <c r="C390" s="2">
        <v>24.54648585847546</v>
      </c>
      <c r="AN390" s="3">
        <f t="shared" si="36"/>
        <v>5.1759098123353873</v>
      </c>
      <c r="AO390" s="3">
        <f t="shared" si="37"/>
        <v>29.711898530726931</v>
      </c>
    </row>
    <row r="391" spans="1:41" x14ac:dyDescent="0.3">
      <c r="A391" s="2">
        <v>11.896651357120991</v>
      </c>
      <c r="B391" s="2">
        <v>23.350057726364749</v>
      </c>
      <c r="C391" s="2">
        <v>27.409845100468701</v>
      </c>
      <c r="AN391" s="3">
        <f t="shared" si="36"/>
        <v>3.6944575120651559</v>
      </c>
      <c r="AO391" s="3">
        <f t="shared" si="37"/>
        <v>6.6951714662378761</v>
      </c>
    </row>
    <row r="392" spans="1:41" x14ac:dyDescent="0.3">
      <c r="A392" s="2">
        <v>2.918726455399443</v>
      </c>
      <c r="B392" s="2">
        <v>21.243157744147091</v>
      </c>
      <c r="C392" s="2">
        <v>19.436051412022319</v>
      </c>
      <c r="AN392" s="3">
        <f t="shared" si="36"/>
        <v>16.232818013051279</v>
      </c>
      <c r="AO392" s="3">
        <f t="shared" si="37"/>
        <v>111.54098648109104</v>
      </c>
    </row>
    <row r="393" spans="1:41" x14ac:dyDescent="0.3">
      <c r="A393" s="2">
        <v>48.267964759827677</v>
      </c>
      <c r="B393" s="2">
        <v>26.88301188994647</v>
      </c>
      <c r="C393" s="2">
        <v>31.421307754670401</v>
      </c>
      <c r="AN393" s="3">
        <f t="shared" si="36"/>
        <v>2.5948602695745517</v>
      </c>
      <c r="AO393" s="3">
        <f t="shared" si="37"/>
        <v>2.0276612667177547</v>
      </c>
    </row>
    <row r="394" spans="1:41" x14ac:dyDescent="0.3">
      <c r="A394" s="2">
        <v>0.87746750524651207</v>
      </c>
      <c r="B394" s="2">
        <v>24.053535009770499</v>
      </c>
      <c r="C394" s="2">
        <v>20.428595488290888</v>
      </c>
      <c r="AN394" s="3">
        <f t="shared" si="36"/>
        <v>1.4850344160476374</v>
      </c>
      <c r="AO394" s="3">
        <f t="shared" si="37"/>
        <v>91.561025411204213</v>
      </c>
    </row>
    <row r="395" spans="1:41" x14ac:dyDescent="0.3">
      <c r="A395" s="2">
        <v>1.889104752968761</v>
      </c>
      <c r="B395" s="2">
        <v>29.409260777897629</v>
      </c>
      <c r="C395" s="2">
        <v>32.628843078747757</v>
      </c>
      <c r="AN395" s="3">
        <f t="shared" si="36"/>
        <v>17.115645115601275</v>
      </c>
      <c r="AO395" s="3">
        <f t="shared" si="37"/>
        <v>6.9247661347286575</v>
      </c>
    </row>
    <row r="396" spans="1:41" x14ac:dyDescent="0.3">
      <c r="A396" s="2">
        <v>24.11474202876493</v>
      </c>
      <c r="B396" s="2">
        <v>29.34321096484755</v>
      </c>
      <c r="C396" s="2">
        <v>37.248521944825562</v>
      </c>
      <c r="AN396" s="3">
        <f t="shared" si="36"/>
        <v>16.573497552669988</v>
      </c>
      <c r="AO396" s="3">
        <f t="shared" si="37"/>
        <v>52.579522986379956</v>
      </c>
    </row>
    <row r="397" spans="1:41" x14ac:dyDescent="0.3">
      <c r="A397" s="2">
        <v>26.459656086704399</v>
      </c>
      <c r="B397" s="2">
        <v>22.05753787310346</v>
      </c>
      <c r="C397" s="2">
        <v>32.271672387819073</v>
      </c>
      <c r="AN397" s="3">
        <f t="shared" si="36"/>
        <v>10.333762574704076</v>
      </c>
      <c r="AO397" s="3">
        <f t="shared" si="37"/>
        <v>5.1725512354307641</v>
      </c>
    </row>
    <row r="398" spans="1:41" x14ac:dyDescent="0.3">
      <c r="A398" s="2">
        <v>29.794280167889351</v>
      </c>
      <c r="B398" s="2">
        <v>24.2819718078755</v>
      </c>
      <c r="C398" s="2">
        <v>26.150082044082868</v>
      </c>
      <c r="AN398" s="3">
        <f t="shared" si="36"/>
        <v>0.98046253901585578</v>
      </c>
      <c r="AO398" s="3">
        <f t="shared" si="37"/>
        <v>14.801455649517806</v>
      </c>
    </row>
    <row r="399" spans="1:41" x14ac:dyDescent="0.3">
      <c r="A399" s="2">
        <v>12.357900067154739</v>
      </c>
      <c r="B399" s="2">
        <v>16.49498879161596</v>
      </c>
      <c r="C399" s="2">
        <v>25.476198726343419</v>
      </c>
      <c r="AN399" s="3">
        <f t="shared" si="36"/>
        <v>77.038644744242106</v>
      </c>
      <c r="AO399" s="3">
        <f t="shared" si="37"/>
        <v>20.440791123636995</v>
      </c>
    </row>
    <row r="400" spans="1:41" x14ac:dyDescent="0.3">
      <c r="A400" s="2">
        <v>0.54402861159621263</v>
      </c>
      <c r="B400" s="2">
        <v>22.657117523921599</v>
      </c>
      <c r="C400" s="2">
        <v>32.334243989616617</v>
      </c>
      <c r="AN400" s="3">
        <f t="shared" si="36"/>
        <v>6.8384204336193903</v>
      </c>
      <c r="AO400" s="3">
        <f t="shared" si="37"/>
        <v>5.4610826755821895</v>
      </c>
    </row>
    <row r="401" spans="1:41" x14ac:dyDescent="0.3">
      <c r="A401" s="2">
        <v>26.850481149207319</v>
      </c>
      <c r="B401" s="2">
        <v>27.79723721319542</v>
      </c>
      <c r="C401" s="2">
        <v>36.278916775061397</v>
      </c>
      <c r="AN401" s="3">
        <f t="shared" si="36"/>
        <v>6.3760407315434211</v>
      </c>
      <c r="AO401" s="3">
        <f t="shared" si="37"/>
        <v>39.458105763214505</v>
      </c>
    </row>
    <row r="402" spans="1:41" x14ac:dyDescent="0.3">
      <c r="A402" s="2">
        <v>11.299617844694</v>
      </c>
      <c r="B402" s="2">
        <v>18.4044007611936</v>
      </c>
      <c r="C402" s="2">
        <v>28.46683469277535</v>
      </c>
      <c r="AN402" s="3">
        <f t="shared" si="36"/>
        <v>47.166046793783899</v>
      </c>
      <c r="AO402" s="3">
        <f t="shared" si="37"/>
        <v>2.3424711084903507</v>
      </c>
    </row>
    <row r="403" spans="1:41" x14ac:dyDescent="0.3">
      <c r="A403" s="2">
        <v>3.6234424846432511</v>
      </c>
      <c r="B403" s="2">
        <v>31.491308815197009</v>
      </c>
      <c r="C403" s="2">
        <v>30.9303198493023</v>
      </c>
      <c r="AN403" s="3">
        <f t="shared" si="36"/>
        <v>38.677875527140039</v>
      </c>
      <c r="AO403" s="3">
        <f t="shared" si="37"/>
        <v>0.87043639545473239</v>
      </c>
    </row>
    <row r="404" spans="1:41" x14ac:dyDescent="0.3">
      <c r="A404" s="2">
        <v>1.5822829869755459</v>
      </c>
      <c r="B404" s="2">
        <v>28.723991917476589</v>
      </c>
      <c r="C404" s="2">
        <v>22.526228053869229</v>
      </c>
      <c r="AN404" s="3">
        <f t="shared" si="36"/>
        <v>11.915178854182718</v>
      </c>
      <c r="AO404" s="3">
        <f t="shared" si="37"/>
        <v>55.817633859159052</v>
      </c>
    </row>
    <row r="405" spans="1:41" x14ac:dyDescent="0.3">
      <c r="A405" s="2">
        <v>6.4286581526363147</v>
      </c>
      <c r="B405" s="2">
        <v>23.485605762540761</v>
      </c>
      <c r="C405" s="2">
        <v>23.25653224472013</v>
      </c>
      <c r="AN405" s="3">
        <f t="shared" si="36"/>
        <v>3.1917577900401932</v>
      </c>
      <c r="AO405" s="3">
        <f t="shared" si="37"/>
        <v>45.438597596718331</v>
      </c>
    </row>
    <row r="406" spans="1:41" x14ac:dyDescent="0.3">
      <c r="A406" s="2">
        <v>33.8864539307732</v>
      </c>
      <c r="B406" s="2">
        <v>27.944118204282951</v>
      </c>
      <c r="C406" s="2">
        <v>34.235796289359961</v>
      </c>
      <c r="AN406" s="3">
        <f t="shared" si="36"/>
        <v>7.13938794507464</v>
      </c>
      <c r="AO406" s="3">
        <f t="shared" si="37"/>
        <v>17.964443555696825</v>
      </c>
    </row>
    <row r="407" spans="1:41" x14ac:dyDescent="0.3">
      <c r="A407" s="2">
        <v>6.7112031667727878</v>
      </c>
      <c r="B407" s="2">
        <v>21.891554110906071</v>
      </c>
      <c r="C407" s="2">
        <v>29.322909611845489</v>
      </c>
      <c r="AN407" s="3">
        <f t="shared" si="36"/>
        <v>11.42846163747824</v>
      </c>
      <c r="AO407" s="3">
        <f t="shared" si="37"/>
        <v>0.45486719445447515</v>
      </c>
    </row>
    <row r="408" spans="1:41" x14ac:dyDescent="0.3">
      <c r="A408" s="2">
        <v>20.538762721678559</v>
      </c>
      <c r="B408" s="2">
        <v>20.963257222220161</v>
      </c>
      <c r="C408" s="2">
        <v>26.462782197157569</v>
      </c>
      <c r="AN408" s="3">
        <f t="shared" si="36"/>
        <v>18.566599123975937</v>
      </c>
      <c r="AO408" s="3">
        <f t="shared" si="37"/>
        <v>12.493155703063886</v>
      </c>
    </row>
    <row r="409" spans="1:41" x14ac:dyDescent="0.3">
      <c r="A409" s="2">
        <v>11.90265537692289</v>
      </c>
      <c r="B409" s="2">
        <v>26.350865412455779</v>
      </c>
      <c r="C409" s="2">
        <v>29.649698830073788</v>
      </c>
      <c r="AN409" s="3">
        <f t="shared" si="36"/>
        <v>1.163616388108131</v>
      </c>
      <c r="AO409" s="3">
        <f t="shared" si="37"/>
        <v>0.12085997372054058</v>
      </c>
    </row>
    <row r="410" spans="1:41" x14ac:dyDescent="0.3">
      <c r="A410" s="2">
        <v>1.0557560550818821</v>
      </c>
      <c r="B410" s="2">
        <v>24.753626351794601</v>
      </c>
      <c r="C410" s="2">
        <v>29.04696515308348</v>
      </c>
      <c r="AN410" s="3">
        <f t="shared" si="36"/>
        <v>0.26887184644697992</v>
      </c>
      <c r="AO410" s="3">
        <f t="shared" si="37"/>
        <v>0.90322763326981093</v>
      </c>
    </row>
    <row r="411" spans="1:41" x14ac:dyDescent="0.3">
      <c r="A411" s="2">
        <v>6.7762804775358321</v>
      </c>
      <c r="B411" s="2">
        <v>18.86054621410192</v>
      </c>
      <c r="C411" s="2">
        <v>39.56812072514888</v>
      </c>
      <c r="AN411" s="3">
        <f t="shared" si="36"/>
        <v>41.108725831566616</v>
      </c>
      <c r="AO411" s="3">
        <f t="shared" si="37"/>
        <v>91.599689775424082</v>
      </c>
    </row>
    <row r="412" spans="1:41" x14ac:dyDescent="0.3">
      <c r="A412" s="2">
        <v>2.3876014067479638</v>
      </c>
      <c r="B412" s="2">
        <v>28.423134014957689</v>
      </c>
      <c r="C412" s="2">
        <v>35.617587992998608</v>
      </c>
      <c r="AN412" s="3">
        <f t="shared" si="36"/>
        <v>9.9286694367216164</v>
      </c>
      <c r="AO412" s="3">
        <f t="shared" si="37"/>
        <v>31.587097120257361</v>
      </c>
    </row>
    <row r="413" spans="1:41" x14ac:dyDescent="0.3">
      <c r="A413" s="2">
        <v>9.1724080342918377</v>
      </c>
      <c r="B413" s="2">
        <v>24.760335028838149</v>
      </c>
      <c r="C413" s="2">
        <v>29.482083711842542</v>
      </c>
      <c r="AN413" s="3">
        <f t="shared" si="36"/>
        <v>0.26195957177370616</v>
      </c>
      <c r="AO413" s="3">
        <f t="shared" si="37"/>
        <v>0.2654973286989184</v>
      </c>
    </row>
    <row r="414" spans="1:41" x14ac:dyDescent="0.3">
      <c r="A414" s="2">
        <v>10.42343038594734</v>
      </c>
      <c r="B414" s="2">
        <v>31.733809884607581</v>
      </c>
      <c r="C414" s="2">
        <v>23.0057561199723</v>
      </c>
      <c r="AN414" s="3">
        <f t="shared" si="36"/>
        <v>41.75298525047593</v>
      </c>
      <c r="AO414" s="3">
        <f t="shared" si="37"/>
        <v>48.882357587423037</v>
      </c>
    </row>
    <row r="415" spans="1:41" x14ac:dyDescent="0.3">
      <c r="A415" s="2">
        <v>7.0438571084119852</v>
      </c>
      <c r="B415" s="2">
        <v>25.29848915152872</v>
      </c>
      <c r="C415" s="2">
        <v>31.00529269419923</v>
      </c>
      <c r="AN415" s="3">
        <f t="shared" si="36"/>
        <v>6.9349325339498815E-4</v>
      </c>
      <c r="AO415" s="3">
        <f t="shared" si="37"/>
        <v>1.0159524243103466</v>
      </c>
    </row>
    <row r="416" spans="1:41" x14ac:dyDescent="0.3">
      <c r="A416" s="2">
        <v>12.24349255543304</v>
      </c>
      <c r="B416" s="2">
        <v>26.713624694571461</v>
      </c>
      <c r="C416" s="2">
        <v>24.042600474816769</v>
      </c>
      <c r="AN416" s="3">
        <f t="shared" si="36"/>
        <v>2.0778351932837267</v>
      </c>
      <c r="AO416" s="3">
        <f t="shared" si="37"/>
        <v>35.459018574617168</v>
      </c>
    </row>
    <row r="417" spans="1:41" x14ac:dyDescent="0.3">
      <c r="A417" s="2">
        <v>4.6396688251850353</v>
      </c>
      <c r="B417" s="2">
        <v>19.599595534156961</v>
      </c>
      <c r="C417" s="2">
        <v>17.031836871386851</v>
      </c>
      <c r="AN417" s="3">
        <f t="shared" si="36"/>
        <v>32.177929662120235</v>
      </c>
      <c r="AO417" s="3">
        <f t="shared" si="37"/>
        <v>168.10447988425108</v>
      </c>
    </row>
    <row r="418" spans="1:41" x14ac:dyDescent="0.3">
      <c r="A418" s="2">
        <v>42.524410327205771</v>
      </c>
      <c r="B418" s="2">
        <v>18.418870739365669</v>
      </c>
      <c r="C418" s="2">
        <v>37.81127393641561</v>
      </c>
      <c r="AN418" s="3">
        <f t="shared" si="36"/>
        <v>46.967503669340026</v>
      </c>
      <c r="AO418" s="3">
        <f t="shared" si="37"/>
        <v>61.057437902127646</v>
      </c>
    </row>
    <row r="419" spans="1:41" x14ac:dyDescent="0.3">
      <c r="A419" s="2">
        <v>9.9432572065937741</v>
      </c>
      <c r="B419" s="2">
        <v>21.47220366023161</v>
      </c>
      <c r="C419" s="2">
        <v>43.281144591954629</v>
      </c>
      <c r="AN419" s="3">
        <f t="shared" si="36"/>
        <v>14.439629359710116</v>
      </c>
      <c r="AO419" s="3">
        <f t="shared" si="37"/>
        <v>176.45925081239184</v>
      </c>
    </row>
    <row r="420" spans="1:41" x14ac:dyDescent="0.3">
      <c r="A420" s="2">
        <v>0.2011881858947884</v>
      </c>
      <c r="B420" s="2">
        <v>23.146854103759949</v>
      </c>
      <c r="C420" s="2">
        <v>22.110108916615701</v>
      </c>
      <c r="AN420" s="3">
        <f t="shared" si="36"/>
        <v>4.5169034381961968</v>
      </c>
      <c r="AO420" s="3">
        <f t="shared" si="37"/>
        <v>62.20854100210849</v>
      </c>
    </row>
    <row r="421" spans="1:41" x14ac:dyDescent="0.3">
      <c r="A421" s="2">
        <v>5.4846892101799227</v>
      </c>
      <c r="B421" s="2">
        <v>25.071081967071901</v>
      </c>
      <c r="C421" s="2">
        <v>25.795435473559849</v>
      </c>
      <c r="AN421" s="3">
        <f t="shared" si="36"/>
        <v>4.0430320921768355E-2</v>
      </c>
      <c r="AO421" s="3">
        <f t="shared" si="37"/>
        <v>17.656069222754684</v>
      </c>
    </row>
    <row r="422" spans="1:41" x14ac:dyDescent="0.3">
      <c r="A422" s="2">
        <v>5.9552726535492626</v>
      </c>
      <c r="B422" s="2">
        <v>25.423078138859221</v>
      </c>
      <c r="C422" s="2">
        <v>37.114957993168247</v>
      </c>
      <c r="AN422" s="3">
        <f t="shared" si="36"/>
        <v>2.2777826605686998E-2</v>
      </c>
      <c r="AO422" s="3">
        <f t="shared" si="37"/>
        <v>50.660371434010926</v>
      </c>
    </row>
    <row r="423" spans="1:41" x14ac:dyDescent="0.3">
      <c r="A423" s="2">
        <v>51.731636047827898</v>
      </c>
      <c r="B423" s="2">
        <v>22.919861365446732</v>
      </c>
      <c r="C423" s="2">
        <v>32.808477854362053</v>
      </c>
      <c r="AN423" s="3">
        <f t="shared" si="36"/>
        <v>5.5332848325214341</v>
      </c>
      <c r="AO423" s="3">
        <f t="shared" si="37"/>
        <v>7.902450828681391</v>
      </c>
    </row>
    <row r="424" spans="1:41" x14ac:dyDescent="0.3">
      <c r="A424" s="2">
        <v>6.6080968869765648</v>
      </c>
      <c r="B424" s="2">
        <v>26.324511900050041</v>
      </c>
      <c r="C424" s="2">
        <v>26.00087007129137</v>
      </c>
      <c r="AN424" s="3">
        <f t="shared" si="36"/>
        <v>1.1074552735296983</v>
      </c>
      <c r="AO424" s="3">
        <f t="shared" si="37"/>
        <v>15.971836160790613</v>
      </c>
    </row>
    <row r="425" spans="1:41" x14ac:dyDescent="0.3">
      <c r="A425" s="2">
        <v>8.7612425220222132</v>
      </c>
      <c r="B425" s="2">
        <v>30.727539626010561</v>
      </c>
      <c r="C425" s="2">
        <v>29.31956519578074</v>
      </c>
      <c r="AN425" s="3">
        <f t="shared" si="36"/>
        <v>29.761222601973092</v>
      </c>
      <c r="AO425" s="3">
        <f t="shared" si="37"/>
        <v>0.45938958500626764</v>
      </c>
    </row>
    <row r="426" spans="1:41" x14ac:dyDescent="0.3">
      <c r="A426" s="2">
        <v>21.733144824246711</v>
      </c>
      <c r="B426" s="2">
        <v>22.36483146243814</v>
      </c>
      <c r="C426" s="2">
        <v>28.624931442351549</v>
      </c>
      <c r="AN426" s="3">
        <f t="shared" si="36"/>
        <v>8.452529520936336</v>
      </c>
      <c r="AO426" s="3">
        <f t="shared" si="37"/>
        <v>1.8835273197046427</v>
      </c>
    </row>
    <row r="427" spans="1:41" x14ac:dyDescent="0.3">
      <c r="A427" s="2">
        <v>7.9650249101431214</v>
      </c>
      <c r="B427" s="2">
        <v>32.039753175993852</v>
      </c>
      <c r="C427" s="2">
        <v>26.569202173630231</v>
      </c>
      <c r="AN427" s="3">
        <f t="shared" si="36"/>
        <v>45.800386540832726</v>
      </c>
      <c r="AO427" s="3">
        <f t="shared" si="37"/>
        <v>11.752184086612719</v>
      </c>
    </row>
    <row r="428" spans="1:41" x14ac:dyDescent="0.3">
      <c r="A428" s="2">
        <v>2.725046700817729</v>
      </c>
      <c r="B428" s="2">
        <v>25.270501031962631</v>
      </c>
      <c r="C428" s="2">
        <v>28.121064052602652</v>
      </c>
      <c r="AN428" s="3">
        <f t="shared" si="36"/>
        <v>2.7352512352792059E-6</v>
      </c>
      <c r="AO428" s="3">
        <f t="shared" si="37"/>
        <v>3.5204416043764475</v>
      </c>
    </row>
    <row r="429" spans="1:41" x14ac:dyDescent="0.3">
      <c r="A429" s="2">
        <v>8.5028122059345783</v>
      </c>
      <c r="B429" s="2">
        <v>26.20285224263041</v>
      </c>
      <c r="C429" s="2">
        <v>31.56728109687468</v>
      </c>
      <c r="AN429" s="3">
        <f t="shared" si="36"/>
        <v>0.86619755947660693</v>
      </c>
      <c r="AO429" s="3">
        <f t="shared" si="37"/>
        <v>2.4646898005470317</v>
      </c>
    </row>
    <row r="430" spans="1:41" x14ac:dyDescent="0.3">
      <c r="A430" s="2">
        <v>24.68006294035267</v>
      </c>
      <c r="B430" s="2">
        <v>32.424496295285337</v>
      </c>
      <c r="C430" s="2">
        <v>28.843285029728101</v>
      </c>
      <c r="AN430" s="3">
        <f t="shared" si="36"/>
        <v>51.155987556881797</v>
      </c>
      <c r="AO430" s="3">
        <f t="shared" si="37"/>
        <v>1.3318614335309202</v>
      </c>
    </row>
    <row r="431" spans="1:41" x14ac:dyDescent="0.3">
      <c r="A431" s="2">
        <v>7.1522161395410233</v>
      </c>
      <c r="B431" s="2">
        <v>23.4317185677894</v>
      </c>
      <c r="C431" s="2">
        <v>32.632717663617463</v>
      </c>
      <c r="AN431" s="3">
        <f t="shared" si="36"/>
        <v>3.3872058614841989</v>
      </c>
      <c r="AO431" s="3">
        <f t="shared" si="37"/>
        <v>6.9451730488540262</v>
      </c>
    </row>
    <row r="432" spans="1:41" x14ac:dyDescent="0.3">
      <c r="A432" s="2">
        <v>2.4216254861855249</v>
      </c>
      <c r="B432" s="2">
        <v>26.800838904523388</v>
      </c>
      <c r="C432" s="2">
        <v>15.37708297828619</v>
      </c>
      <c r="AN432" s="3">
        <f t="shared" si="36"/>
        <v>2.3368748117972107</v>
      </c>
      <c r="AO432" s="3">
        <f t="shared" si="37"/>
        <v>213.75215049824533</v>
      </c>
    </row>
    <row r="433" spans="1:41" x14ac:dyDescent="0.3">
      <c r="A433" s="2">
        <v>6.0936269426863001</v>
      </c>
      <c r="B433" s="2">
        <v>28.72296464302778</v>
      </c>
      <c r="C433" s="2">
        <v>24.799949584051181</v>
      </c>
      <c r="AN433" s="3">
        <f t="shared" si="36"/>
        <v>11.90808794151895</v>
      </c>
      <c r="AO433" s="3">
        <f t="shared" si="37"/>
        <v>27.01295071824465</v>
      </c>
    </row>
    <row r="434" spans="1:41" x14ac:dyDescent="0.3">
      <c r="A434" s="2">
        <v>13.36485733381755</v>
      </c>
      <c r="B434" s="2">
        <v>10.59395317115184</v>
      </c>
      <c r="C434" s="2">
        <v>29.35261313609367</v>
      </c>
      <c r="AN434" s="3">
        <f t="shared" si="36"/>
        <v>215.44960574204183</v>
      </c>
      <c r="AO434" s="3">
        <f t="shared" si="37"/>
        <v>0.41568309735035791</v>
      </c>
    </row>
    <row r="435" spans="1:41" x14ac:dyDescent="0.3">
      <c r="A435" s="2">
        <v>0.75177128304906915</v>
      </c>
      <c r="B435" s="2">
        <v>23.699922515522079</v>
      </c>
      <c r="C435" s="2">
        <v>18.884351791008839</v>
      </c>
      <c r="AN435" s="3">
        <f t="shared" si="36"/>
        <v>2.4719146439457282</v>
      </c>
      <c r="AO435" s="3">
        <f t="shared" si="37"/>
        <v>123.49868564793577</v>
      </c>
    </row>
    <row r="436" spans="1:41" x14ac:dyDescent="0.3">
      <c r="A436" s="2">
        <v>14.756285547029879</v>
      </c>
      <c r="B436" s="2">
        <v>30.272545559886151</v>
      </c>
      <c r="C436" s="2">
        <v>30.354867140672528</v>
      </c>
      <c r="AN436" s="3">
        <f t="shared" si="36"/>
        <v>25.003906836888643</v>
      </c>
      <c r="AO436" s="3">
        <f t="shared" si="37"/>
        <v>0.127819906771624</v>
      </c>
    </row>
    <row r="437" spans="1:41" x14ac:dyDescent="0.3">
      <c r="A437" s="2">
        <v>0.4838747676312708</v>
      </c>
      <c r="B437" s="2">
        <v>25.248782002191419</v>
      </c>
      <c r="C437" s="2">
        <v>25.664392931747379</v>
      </c>
      <c r="AN437" s="3">
        <f t="shared" si="36"/>
        <v>5.4629195273650771E-4</v>
      </c>
      <c r="AO437" s="3">
        <f t="shared" si="37"/>
        <v>18.774499977089921</v>
      </c>
    </row>
    <row r="438" spans="1:41" x14ac:dyDescent="0.3">
      <c r="A438" s="2">
        <v>32.043722392592137</v>
      </c>
      <c r="B438" s="2">
        <v>28.236150585744589</v>
      </c>
      <c r="C438" s="2">
        <v>31.818390934911939</v>
      </c>
      <c r="AN438" s="3">
        <f t="shared" si="36"/>
        <v>8.7852704757407345</v>
      </c>
      <c r="AO438" s="3">
        <f t="shared" si="37"/>
        <v>3.3161972221852012</v>
      </c>
    </row>
    <row r="439" spans="1:41" x14ac:dyDescent="0.3">
      <c r="A439" s="2">
        <v>2.0749213221462259</v>
      </c>
      <c r="B439" s="2">
        <v>34.69428406643307</v>
      </c>
      <c r="C439" s="2">
        <v>31.85983514486686</v>
      </c>
      <c r="AN439" s="3">
        <f t="shared" si="36"/>
        <v>88.776518189888719</v>
      </c>
      <c r="AO439" s="3">
        <f t="shared" si="37"/>
        <v>3.4688582128047378</v>
      </c>
    </row>
    <row r="440" spans="1:41" x14ac:dyDescent="0.3">
      <c r="A440" s="2">
        <v>13.658908696476789</v>
      </c>
      <c r="B440" s="2">
        <v>31.121550661982042</v>
      </c>
      <c r="C440" s="2">
        <v>32.073830510216283</v>
      </c>
      <c r="AN440" s="3">
        <f t="shared" si="36"/>
        <v>34.215430880207364</v>
      </c>
      <c r="AO440" s="3">
        <f t="shared" si="37"/>
        <v>4.3117794457813012</v>
      </c>
    </row>
    <row r="441" spans="1:41" x14ac:dyDescent="0.3">
      <c r="A441" s="2">
        <v>4.4245628127851564</v>
      </c>
      <c r="B441" s="2">
        <v>20.661190075533209</v>
      </c>
      <c r="C441" s="2">
        <v>24.69601939826639</v>
      </c>
      <c r="AN441" s="3">
        <f t="shared" si="36"/>
        <v>21.260996533709879</v>
      </c>
      <c r="AO441" s="3">
        <f t="shared" si="37"/>
        <v>28.10408537617748</v>
      </c>
    </row>
    <row r="442" spans="1:41" x14ac:dyDescent="0.3">
      <c r="A442" s="2">
        <v>3.5285611696075718</v>
      </c>
      <c r="B442" s="2">
        <v>25.358119419768229</v>
      </c>
      <c r="C442" s="2">
        <v>30.685969847059859</v>
      </c>
      <c r="AN442" s="3">
        <f t="shared" si="36"/>
        <v>7.3899001273477526E-3</v>
      </c>
      <c r="AO442" s="3">
        <f t="shared" si="37"/>
        <v>0.47419999205266333</v>
      </c>
    </row>
    <row r="443" spans="1:41" x14ac:dyDescent="0.3">
      <c r="A443" s="2">
        <v>1.832620380319631</v>
      </c>
      <c r="B443" s="2">
        <v>33.029552445391687</v>
      </c>
      <c r="C443" s="2">
        <v>40.972163498214002</v>
      </c>
      <c r="AN443" s="3">
        <f t="shared" si="36"/>
        <v>60.177216809753567</v>
      </c>
      <c r="AO443" s="3">
        <f t="shared" si="37"/>
        <v>120.44657432423071</v>
      </c>
    </row>
    <row r="444" spans="1:41" x14ac:dyDescent="0.3">
      <c r="A444" s="2">
        <v>9.2586688669722079</v>
      </c>
      <c r="B444" s="2">
        <v>18.827200153033331</v>
      </c>
      <c r="C444" s="2">
        <v>29.588175493689238</v>
      </c>
      <c r="AN444" s="3">
        <f t="shared" si="36"/>
        <v>41.537441580361516</v>
      </c>
      <c r="AO444" s="3">
        <f t="shared" si="37"/>
        <v>0.1674221733114418</v>
      </c>
    </row>
    <row r="445" spans="1:41" x14ac:dyDescent="0.3">
      <c r="A445" s="2">
        <v>2.7264588478768919</v>
      </c>
      <c r="B445" s="2">
        <v>35.968924768422887</v>
      </c>
      <c r="C445" s="2">
        <v>37.316883312622892</v>
      </c>
      <c r="AN445" s="3">
        <f t="shared" si="36"/>
        <v>114.420885800712</v>
      </c>
      <c r="AO445" s="3">
        <f t="shared" si="37"/>
        <v>53.575596595417672</v>
      </c>
    </row>
    <row r="446" spans="1:41" x14ac:dyDescent="0.3">
      <c r="A446" s="2">
        <v>3.5426381868015482</v>
      </c>
      <c r="B446" s="2">
        <v>28.157485524083729</v>
      </c>
      <c r="C446" s="2">
        <v>35.998083834820683</v>
      </c>
      <c r="AN446" s="3">
        <f t="shared" si="36"/>
        <v>8.3251328595599148</v>
      </c>
      <c r="AO446" s="3">
        <f t="shared" si="37"/>
        <v>36.008830069606816</v>
      </c>
    </row>
    <row r="447" spans="1:41" x14ac:dyDescent="0.3">
      <c r="A447" s="2">
        <v>23.649694451564169</v>
      </c>
      <c r="B447" s="2">
        <v>31.86253876815632</v>
      </c>
      <c r="C447" s="2">
        <v>25.22947375283994</v>
      </c>
      <c r="AN447" s="3">
        <f t="shared" si="36"/>
        <v>43.433159642225817</v>
      </c>
      <c r="AO447" s="3">
        <f t="shared" si="37"/>
        <v>22.732625225817838</v>
      </c>
    </row>
    <row r="448" spans="1:41" x14ac:dyDescent="0.3">
      <c r="A448" s="2">
        <v>17.921874037190111</v>
      </c>
      <c r="B448" s="2">
        <v>18.464203903222451</v>
      </c>
      <c r="C448" s="2">
        <v>20.248165465914429</v>
      </c>
      <c r="AN448" s="3">
        <f t="shared" si="36"/>
        <v>46.348196658237384</v>
      </c>
      <c r="AO448" s="3">
        <f t="shared" si="37"/>
        <v>95.046560878508046</v>
      </c>
    </row>
    <row r="449" spans="1:41" x14ac:dyDescent="0.3">
      <c r="A449" s="2">
        <v>11.897059567529601</v>
      </c>
      <c r="B449" s="2">
        <v>24.91165755213451</v>
      </c>
      <c r="C449" s="2">
        <v>30.54191931533795</v>
      </c>
      <c r="AN449" s="3">
        <f t="shared" si="36"/>
        <v>0.1299583316603739</v>
      </c>
      <c r="AO449" s="3">
        <f t="shared" si="37"/>
        <v>0.29655787304878123</v>
      </c>
    </row>
    <row r="450" spans="1:41" x14ac:dyDescent="0.3">
      <c r="A450" s="2">
        <v>17.692873266975521</v>
      </c>
      <c r="B450" s="2">
        <v>29.287844026782501</v>
      </c>
      <c r="C450" s="2">
        <v>27.689203842065069</v>
      </c>
      <c r="AN450" s="3">
        <f t="shared" si="36"/>
        <v>16.125759231551449</v>
      </c>
      <c r="AO450" s="3">
        <f t="shared" si="37"/>
        <v>5.327529642166879</v>
      </c>
    </row>
    <row r="451" spans="1:41" x14ac:dyDescent="0.3">
      <c r="A451" s="2">
        <v>4.7798947183045808</v>
      </c>
      <c r="B451" s="2">
        <v>20.237523888720151</v>
      </c>
      <c r="C451" s="2">
        <v>23.360683523077139</v>
      </c>
      <c r="AN451" s="3">
        <f t="shared" ref="AN451:AN514" si="38">(B451-$AK$2)^2</f>
        <v>25.347509333743904</v>
      </c>
      <c r="AO451" s="3">
        <f t="shared" ref="AO451:AO514" si="39">(C451-$AK$3)^2</f>
        <v>44.045315920839464</v>
      </c>
    </row>
    <row r="452" spans="1:41" x14ac:dyDescent="0.3">
      <c r="A452" s="2">
        <v>5.584358185423004</v>
      </c>
      <c r="B452" s="2">
        <v>23.53143282547946</v>
      </c>
      <c r="C452" s="2">
        <v>27.804393278880951</v>
      </c>
      <c r="AN452" s="3">
        <f t="shared" si="38"/>
        <v>3.0301133109897105</v>
      </c>
      <c r="AO452" s="3">
        <f t="shared" si="39"/>
        <v>4.8090505878359373</v>
      </c>
    </row>
    <row r="453" spans="1:41" x14ac:dyDescent="0.3">
      <c r="A453" s="2">
        <v>0.40712880317300781</v>
      </c>
      <c r="B453" s="2">
        <v>25.665521577489621</v>
      </c>
      <c r="C453" s="2">
        <v>20.11466167597419</v>
      </c>
      <c r="AN453" s="3">
        <f t="shared" si="38"/>
        <v>0.15473734967834427</v>
      </c>
      <c r="AO453" s="3">
        <f t="shared" si="39"/>
        <v>97.667489785570339</v>
      </c>
    </row>
    <row r="454" spans="1:41" x14ac:dyDescent="0.3">
      <c r="A454" s="2">
        <v>4.689035029247246</v>
      </c>
      <c r="B454" s="2">
        <v>17.912066114784292</v>
      </c>
      <c r="C454" s="2">
        <v>23.282596054791622</v>
      </c>
      <c r="AN454" s="3">
        <f t="shared" si="38"/>
        <v>54.170906800539903</v>
      </c>
      <c r="AO454" s="3">
        <f t="shared" si="39"/>
        <v>45.087894233641755</v>
      </c>
    </row>
    <row r="455" spans="1:41" x14ac:dyDescent="0.3">
      <c r="A455" s="2">
        <v>9.6704631406212833</v>
      </c>
      <c r="B455" s="2">
        <v>30.685929244121692</v>
      </c>
      <c r="C455" s="2">
        <v>30.131542181849898</v>
      </c>
      <c r="AN455" s="3">
        <f t="shared" si="38"/>
        <v>29.308952741543273</v>
      </c>
      <c r="AO455" s="3">
        <f t="shared" si="39"/>
        <v>1.8008067491354706E-2</v>
      </c>
    </row>
    <row r="456" spans="1:41" x14ac:dyDescent="0.3">
      <c r="A456" s="2">
        <v>12.11033858171375</v>
      </c>
      <c r="B456" s="2">
        <v>19.724169330518901</v>
      </c>
      <c r="C456" s="2">
        <v>29.360677358445631</v>
      </c>
      <c r="AN456" s="3">
        <f t="shared" si="38"/>
        <v>30.780143784405023</v>
      </c>
      <c r="AO456" s="3">
        <f t="shared" si="39"/>
        <v>0.4053495577732083</v>
      </c>
    </row>
    <row r="457" spans="1:41" x14ac:dyDescent="0.3">
      <c r="A457" s="2">
        <v>24.599443477932009</v>
      </c>
      <c r="B457" s="2">
        <v>19.283080713758689</v>
      </c>
      <c r="C457" s="2">
        <v>34.115651479421928</v>
      </c>
      <c r="AN457" s="3">
        <f t="shared" si="38"/>
        <v>35.869009506002264</v>
      </c>
      <c r="AO457" s="3">
        <f t="shared" si="39"/>
        <v>16.960423212541706</v>
      </c>
    </row>
    <row r="458" spans="1:41" x14ac:dyDescent="0.3">
      <c r="A458" s="2">
        <v>5.2619993377670857</v>
      </c>
      <c r="B458" s="2">
        <v>27.91268601083166</v>
      </c>
      <c r="C458" s="2">
        <v>22.65697783960654</v>
      </c>
      <c r="AN458" s="3">
        <f t="shared" si="38"/>
        <v>6.9724045923729578</v>
      </c>
      <c r="AO458" s="3">
        <f t="shared" si="39"/>
        <v>53.881034690610775</v>
      </c>
    </row>
    <row r="459" spans="1:41" x14ac:dyDescent="0.3">
      <c r="A459" s="2">
        <v>15.52004393646533</v>
      </c>
      <c r="B459" s="2">
        <v>23.661728983766729</v>
      </c>
      <c r="C459" s="2">
        <v>30.457367546484409</v>
      </c>
      <c r="AN459" s="3">
        <f t="shared" si="38"/>
        <v>2.5934716041679851</v>
      </c>
      <c r="AO459" s="3">
        <f t="shared" si="39"/>
        <v>0.21161794560750491</v>
      </c>
    </row>
    <row r="460" spans="1:41" x14ac:dyDescent="0.3">
      <c r="A460" s="2">
        <v>5.020825448401089</v>
      </c>
      <c r="B460" s="2">
        <v>22.25045169259273</v>
      </c>
      <c r="C460" s="2">
        <v>30.847584480221311</v>
      </c>
      <c r="AN460" s="3">
        <f t="shared" si="38"/>
        <v>9.1306902220414816</v>
      </c>
      <c r="AO460" s="3">
        <f t="shared" si="39"/>
        <v>0.72290200291497997</v>
      </c>
    </row>
    <row r="461" spans="1:41" x14ac:dyDescent="0.3">
      <c r="A461" s="2">
        <v>0.29130273355891229</v>
      </c>
      <c r="B461" s="2">
        <v>24.23999566809767</v>
      </c>
      <c r="C461" s="2">
        <v>29.800803865639679</v>
      </c>
      <c r="AN461" s="3">
        <f t="shared" si="38"/>
        <v>1.0653526623708309</v>
      </c>
      <c r="AO461" s="3">
        <f t="shared" si="39"/>
        <v>3.8629612790571734E-2</v>
      </c>
    </row>
    <row r="462" spans="1:41" x14ac:dyDescent="0.3">
      <c r="A462" s="2">
        <v>12.731127541631199</v>
      </c>
      <c r="B462" s="2">
        <v>19.837390725310669</v>
      </c>
      <c r="C462" s="2">
        <v>33.354462319496989</v>
      </c>
      <c r="AN462" s="3">
        <f t="shared" si="38"/>
        <v>29.53666154165505</v>
      </c>
      <c r="AO462" s="3">
        <f t="shared" si="39"/>
        <v>11.270216280212058</v>
      </c>
    </row>
    <row r="463" spans="1:41" x14ac:dyDescent="0.3">
      <c r="A463" s="2">
        <v>2.6202389247005371</v>
      </c>
      <c r="B463" s="2">
        <v>24.81229625232131</v>
      </c>
      <c r="C463" s="2">
        <v>34.225004564311668</v>
      </c>
      <c r="AN463" s="3">
        <f t="shared" si="38"/>
        <v>0.21146996798999868</v>
      </c>
      <c r="AO463" s="3">
        <f t="shared" si="39"/>
        <v>17.873079680766651</v>
      </c>
    </row>
    <row r="464" spans="1:41" x14ac:dyDescent="0.3">
      <c r="A464" s="2">
        <v>2.4080446509131841</v>
      </c>
      <c r="B464" s="2">
        <v>20.87643587539424</v>
      </c>
      <c r="C464" s="2">
        <v>40.319032790387539</v>
      </c>
      <c r="AN464" s="3">
        <f t="shared" si="38"/>
        <v>19.322345668197464</v>
      </c>
      <c r="AO464" s="3">
        <f t="shared" si="39"/>
        <v>106.53717606980911</v>
      </c>
    </row>
    <row r="465" spans="1:41" x14ac:dyDescent="0.3">
      <c r="A465" s="2">
        <v>1.6984814869498539</v>
      </c>
      <c r="B465" s="2">
        <v>30.126288018279599</v>
      </c>
      <c r="C465" s="2">
        <v>31.928100897347012</v>
      </c>
      <c r="AN465" s="3">
        <f t="shared" si="38"/>
        <v>23.562608412892576</v>
      </c>
      <c r="AO465" s="3">
        <f t="shared" si="39"/>
        <v>3.7278065930534341</v>
      </c>
    </row>
    <row r="466" spans="1:41" x14ac:dyDescent="0.3">
      <c r="A466" s="2">
        <v>5.8992746105800054</v>
      </c>
      <c r="B466" s="2">
        <v>32.379918023675103</v>
      </c>
      <c r="C466" s="2">
        <v>21.75844758700476</v>
      </c>
      <c r="AN466" s="3">
        <f t="shared" si="38"/>
        <v>50.520296743683801</v>
      </c>
      <c r="AO466" s="3">
        <f t="shared" si="39"/>
        <v>67.879480687594395</v>
      </c>
    </row>
    <row r="467" spans="1:41" x14ac:dyDescent="0.3">
      <c r="A467" s="2">
        <v>15.71003892000174</v>
      </c>
      <c r="B467" s="2">
        <v>25.612703568297579</v>
      </c>
      <c r="C467" s="2">
        <v>34.893828879024547</v>
      </c>
      <c r="AN467" s="3">
        <f t="shared" si="38"/>
        <v>0.11597340129618813</v>
      </c>
      <c r="AO467" s="3">
        <f t="shared" si="39"/>
        <v>23.975524599072234</v>
      </c>
    </row>
    <row r="468" spans="1:41" x14ac:dyDescent="0.3">
      <c r="A468" s="2">
        <v>10.371234528038631</v>
      </c>
      <c r="B468" s="2">
        <v>26.735706391925351</v>
      </c>
      <c r="C468" s="2">
        <v>34.71729116889918</v>
      </c>
      <c r="AN468" s="3">
        <f t="shared" si="38"/>
        <v>2.1419829945159368</v>
      </c>
      <c r="AO468" s="3">
        <f t="shared" si="39"/>
        <v>22.277863132463757</v>
      </c>
    </row>
    <row r="469" spans="1:41" x14ac:dyDescent="0.3">
      <c r="A469" s="2">
        <v>8.6832248242685157</v>
      </c>
      <c r="B469" s="2">
        <v>19.1145695465834</v>
      </c>
      <c r="C469" s="2">
        <v>27.167634773955701</v>
      </c>
      <c r="AN469" s="3">
        <f t="shared" si="38"/>
        <v>37.915857279432529</v>
      </c>
      <c r="AO469" s="3">
        <f t="shared" si="39"/>
        <v>8.0072771725707721</v>
      </c>
    </row>
    <row r="470" spans="1:41" x14ac:dyDescent="0.3">
      <c r="A470" s="2">
        <v>1.127145595480511</v>
      </c>
      <c r="B470" s="2">
        <v>27.840709546019781</v>
      </c>
      <c r="C470" s="2">
        <v>29.499434068363701</v>
      </c>
      <c r="AN470" s="3">
        <f t="shared" si="38"/>
        <v>6.5974730134634454</v>
      </c>
      <c r="AO470" s="3">
        <f t="shared" si="39"/>
        <v>0.24791832395013477</v>
      </c>
    </row>
    <row r="471" spans="1:41" x14ac:dyDescent="0.3">
      <c r="A471" s="2">
        <v>10.47729125291352</v>
      </c>
      <c r="B471" s="2">
        <v>21.033294753508851</v>
      </c>
      <c r="C471" s="2">
        <v>31.47019707223393</v>
      </c>
      <c r="AN471" s="3">
        <f t="shared" si="38"/>
        <v>17.967935269106725</v>
      </c>
      <c r="AO471" s="3">
        <f t="shared" si="39"/>
        <v>2.1692842693874654</v>
      </c>
    </row>
    <row r="472" spans="1:41" x14ac:dyDescent="0.3">
      <c r="A472" s="2">
        <v>4.8337154468037076</v>
      </c>
      <c r="B472" s="2">
        <v>30.500102292065812</v>
      </c>
      <c r="C472" s="2">
        <v>34.998261191474612</v>
      </c>
      <c r="AN472" s="3">
        <f t="shared" si="38"/>
        <v>27.33143402350662</v>
      </c>
      <c r="AO472" s="3">
        <f t="shared" si="39"/>
        <v>25.009132340561752</v>
      </c>
    </row>
    <row r="473" spans="1:41" x14ac:dyDescent="0.3">
      <c r="A473" s="2">
        <v>17.939058785598679</v>
      </c>
      <c r="B473" s="2">
        <v>18.94450467045559</v>
      </c>
      <c r="C473" s="2">
        <v>33.262035928276298</v>
      </c>
      <c r="AN473" s="3">
        <f t="shared" si="38"/>
        <v>40.039157319370432</v>
      </c>
      <c r="AO473" s="3">
        <f t="shared" si="39"/>
        <v>10.658187002615833</v>
      </c>
    </row>
    <row r="474" spans="1:41" x14ac:dyDescent="0.3">
      <c r="A474" s="2">
        <v>47.383963023079161</v>
      </c>
      <c r="B474" s="2">
        <v>23.393812805076941</v>
      </c>
      <c r="C474" s="2">
        <v>29.921895875909328</v>
      </c>
      <c r="AN474" s="3">
        <f t="shared" si="38"/>
        <v>3.5281689934758673</v>
      </c>
      <c r="AO474" s="3">
        <f t="shared" si="39"/>
        <v>5.6930291871194047E-3</v>
      </c>
    </row>
    <row r="475" spans="1:41" x14ac:dyDescent="0.3">
      <c r="A475" s="2">
        <v>0.60241119567092427</v>
      </c>
      <c r="B475" s="2">
        <v>18.664308979915319</v>
      </c>
      <c r="C475" s="2">
        <v>26.681274921793651</v>
      </c>
      <c r="AN475" s="3">
        <f t="shared" si="38"/>
        <v>43.663627590710732</v>
      </c>
      <c r="AO475" s="3">
        <f t="shared" si="39"/>
        <v>10.996340930615405</v>
      </c>
    </row>
    <row r="476" spans="1:41" x14ac:dyDescent="0.3">
      <c r="A476" s="2">
        <v>4.7281472033943412</v>
      </c>
      <c r="B476" s="2">
        <v>27.84280956371698</v>
      </c>
      <c r="C476" s="2">
        <v>32.702133949901267</v>
      </c>
      <c r="AN476" s="3">
        <f t="shared" si="38"/>
        <v>6.6082654439993727</v>
      </c>
      <c r="AO476" s="3">
        <f t="shared" si="39"/>
        <v>7.3158668140573413</v>
      </c>
    </row>
    <row r="477" spans="1:41" x14ac:dyDescent="0.3">
      <c r="A477" s="2">
        <v>10.81044622146818</v>
      </c>
      <c r="B477" s="2">
        <v>27.581398329136601</v>
      </c>
      <c r="C477" s="2">
        <v>32.645213359849521</v>
      </c>
      <c r="AN477" s="3">
        <f t="shared" si="38"/>
        <v>5.332605254454899</v>
      </c>
      <c r="AO477" s="3">
        <f t="shared" si="39"/>
        <v>7.0111907478101205</v>
      </c>
    </row>
    <row r="478" spans="1:41" x14ac:dyDescent="0.3">
      <c r="A478" s="2">
        <v>25.774745943705572</v>
      </c>
      <c r="B478" s="2">
        <v>27.090965469124669</v>
      </c>
      <c r="C478" s="2">
        <v>37.052642594870818</v>
      </c>
      <c r="AN478" s="3">
        <f t="shared" si="38"/>
        <v>3.3080719174268189</v>
      </c>
      <c r="AO478" s="3">
        <f t="shared" si="39"/>
        <v>49.777181244661108</v>
      </c>
    </row>
    <row r="479" spans="1:41" x14ac:dyDescent="0.3">
      <c r="A479" s="2">
        <v>0.19585373624581581</v>
      </c>
      <c r="B479" s="2">
        <v>28.559264538962111</v>
      </c>
      <c r="C479" s="2">
        <v>28.742123618493441</v>
      </c>
      <c r="AN479" s="3">
        <f t="shared" si="38"/>
        <v>10.805089834704948</v>
      </c>
      <c r="AO479" s="3">
        <f t="shared" si="39"/>
        <v>1.5755883503619939</v>
      </c>
    </row>
    <row r="480" spans="1:41" x14ac:dyDescent="0.3">
      <c r="A480" s="2">
        <v>2.2371514945650168</v>
      </c>
      <c r="B480" s="2">
        <v>13.736838254521009</v>
      </c>
      <c r="C480" s="2">
        <v>30.399187009358432</v>
      </c>
      <c r="AN480" s="3">
        <f t="shared" si="38"/>
        <v>133.06352991442921</v>
      </c>
      <c r="AO480" s="3">
        <f t="shared" si="39"/>
        <v>0.16147455664981267</v>
      </c>
    </row>
    <row r="481" spans="1:41" x14ac:dyDescent="0.3">
      <c r="A481" s="2">
        <v>5.9110920839902388</v>
      </c>
      <c r="B481" s="2">
        <v>23.505028436706201</v>
      </c>
      <c r="C481" s="2">
        <v>30.76579540743143</v>
      </c>
      <c r="AN481" s="3">
        <f t="shared" si="38"/>
        <v>3.1227359070888512</v>
      </c>
      <c r="AO481" s="3">
        <f t="shared" si="39"/>
        <v>0.5905113552783966</v>
      </c>
    </row>
    <row r="482" spans="1:41" x14ac:dyDescent="0.3">
      <c r="A482" s="2">
        <v>9.1649632402400059</v>
      </c>
      <c r="B482" s="2">
        <v>36.134851327850541</v>
      </c>
      <c r="C482" s="2">
        <v>15.830107656110989</v>
      </c>
      <c r="AN482" s="3">
        <f t="shared" si="38"/>
        <v>117.9981738691833</v>
      </c>
      <c r="AO482" s="3">
        <f t="shared" si="39"/>
        <v>200.71070011764402</v>
      </c>
    </row>
    <row r="483" spans="1:41" x14ac:dyDescent="0.3">
      <c r="A483" s="2">
        <v>4.1653255233244968</v>
      </c>
      <c r="B483" s="2">
        <v>31.061255875578379</v>
      </c>
      <c r="C483" s="2">
        <v>26.88388225934251</v>
      </c>
      <c r="AN483" s="3">
        <f t="shared" si="38"/>
        <v>33.513690204326537</v>
      </c>
      <c r="AO483" s="3">
        <f t="shared" si="39"/>
        <v>9.693669172324455</v>
      </c>
    </row>
    <row r="484" spans="1:41" x14ac:dyDescent="0.3">
      <c r="A484" s="2">
        <v>0.1884819293867071</v>
      </c>
      <c r="B484" s="2">
        <v>22.258317681413551</v>
      </c>
      <c r="C484" s="2">
        <v>24.94169100279743</v>
      </c>
      <c r="AN484" s="3">
        <f t="shared" si="38"/>
        <v>9.0832147286573584</v>
      </c>
      <c r="AO484" s="3">
        <f t="shared" si="39"/>
        <v>25.559668085933748</v>
      </c>
    </row>
    <row r="485" spans="1:41" x14ac:dyDescent="0.3">
      <c r="A485" s="2">
        <v>0.14896531966072429</v>
      </c>
      <c r="B485" s="2">
        <v>25.20412781542916</v>
      </c>
      <c r="C485" s="2">
        <v>28.611295329024021</v>
      </c>
      <c r="AN485" s="3">
        <f t="shared" si="38"/>
        <v>4.6276830732333201E-3</v>
      </c>
      <c r="AO485" s="3">
        <f t="shared" si="39"/>
        <v>1.9211421198294507</v>
      </c>
    </row>
    <row r="486" spans="1:41" x14ac:dyDescent="0.3">
      <c r="A486" s="2">
        <v>15.63880884565579</v>
      </c>
      <c r="B486" s="2">
        <v>11.418824713458051</v>
      </c>
      <c r="C486" s="2">
        <v>37.549653934253051</v>
      </c>
      <c r="AN486" s="3">
        <f t="shared" si="38"/>
        <v>191.91475702072481</v>
      </c>
      <c r="AO486" s="3">
        <f t="shared" si="39"/>
        <v>57.037324308242617</v>
      </c>
    </row>
    <row r="487" spans="1:41" x14ac:dyDescent="0.3">
      <c r="A487" s="2">
        <v>19.245922244718511</v>
      </c>
      <c r="B487" s="2">
        <v>26.714189713344549</v>
      </c>
      <c r="C487" s="2">
        <v>28.867806504148881</v>
      </c>
      <c r="AN487" s="3">
        <f t="shared" si="38"/>
        <v>2.0794644275291359</v>
      </c>
      <c r="AO487" s="3">
        <f t="shared" si="39"/>
        <v>1.2758640830266135</v>
      </c>
    </row>
    <row r="488" spans="1:41" x14ac:dyDescent="0.3">
      <c r="A488" s="2">
        <v>12.911910473580191</v>
      </c>
      <c r="B488" s="2">
        <v>29.520499465016229</v>
      </c>
      <c r="C488" s="2">
        <v>26.760235958496331</v>
      </c>
      <c r="AN488" s="3">
        <f t="shared" si="38"/>
        <v>18.048431615669173</v>
      </c>
      <c r="AO488" s="3">
        <f t="shared" si="39"/>
        <v>10.478894633414857</v>
      </c>
    </row>
    <row r="489" spans="1:41" x14ac:dyDescent="0.3">
      <c r="A489" s="2">
        <v>11.49764125979747</v>
      </c>
      <c r="B489" s="2">
        <v>26.085090737059531</v>
      </c>
      <c r="C489" s="2">
        <v>30.842226518194341</v>
      </c>
      <c r="AN489" s="3">
        <f t="shared" si="38"/>
        <v>0.66086468906148843</v>
      </c>
      <c r="AO489" s="3">
        <f t="shared" si="39"/>
        <v>0.71381964155936162</v>
      </c>
    </row>
    <row r="490" spans="1:41" x14ac:dyDescent="0.3">
      <c r="A490" s="2">
        <v>0.61898318634604754</v>
      </c>
      <c r="B490" s="2">
        <v>23.830538986593361</v>
      </c>
      <c r="C490" s="2">
        <v>26.935389422394891</v>
      </c>
      <c r="AN490" s="3">
        <f t="shared" si="38"/>
        <v>2.078256417162927</v>
      </c>
      <c r="AO490" s="3">
        <f t="shared" si="39"/>
        <v>9.3755905808427844</v>
      </c>
    </row>
    <row r="491" spans="1:41" x14ac:dyDescent="0.3">
      <c r="A491" s="2">
        <v>2.7748340111736711</v>
      </c>
      <c r="B491" s="2">
        <v>18.32333005620081</v>
      </c>
      <c r="C491" s="2">
        <v>35.195823150233913</v>
      </c>
      <c r="AN491" s="3">
        <f t="shared" si="38"/>
        <v>48.286166591107524</v>
      </c>
      <c r="AO491" s="3">
        <f t="shared" si="39"/>
        <v>27.024143463374291</v>
      </c>
    </row>
    <row r="492" spans="1:41" x14ac:dyDescent="0.3">
      <c r="A492" s="2">
        <v>2.8041188318455341</v>
      </c>
      <c r="B492" s="2">
        <v>23.26879768333399</v>
      </c>
      <c r="C492" s="2">
        <v>30.032420266305159</v>
      </c>
      <c r="AN492" s="3">
        <f t="shared" si="38"/>
        <v>4.0134401033483131</v>
      </c>
      <c r="AO492" s="3">
        <f t="shared" si="39"/>
        <v>1.2300610016847387E-3</v>
      </c>
    </row>
    <row r="493" spans="1:41" x14ac:dyDescent="0.3">
      <c r="A493" s="2">
        <v>12.534412610385729</v>
      </c>
      <c r="B493" s="2">
        <v>28.880300071414389</v>
      </c>
      <c r="C493" s="2">
        <v>25.980777266549101</v>
      </c>
      <c r="AN493" s="3">
        <f t="shared" si="38"/>
        <v>13.018711639631928</v>
      </c>
      <c r="AO493" s="3">
        <f t="shared" si="39"/>
        <v>16.132840784589373</v>
      </c>
    </row>
    <row r="494" spans="1:41" x14ac:dyDescent="0.3">
      <c r="A494" s="2">
        <v>21.17283377480538</v>
      </c>
      <c r="B494" s="2">
        <v>19.291331758390928</v>
      </c>
      <c r="C494" s="2">
        <v>29.981460235590362</v>
      </c>
      <c r="AN494" s="3">
        <f t="shared" si="38"/>
        <v>35.770245349047791</v>
      </c>
      <c r="AO494" s="3">
        <f t="shared" si="39"/>
        <v>2.5242235447001744E-4</v>
      </c>
    </row>
    <row r="495" spans="1:41" x14ac:dyDescent="0.3">
      <c r="A495" s="2">
        <v>4.1053421374043264</v>
      </c>
      <c r="B495" s="2">
        <v>32.482647111716354</v>
      </c>
      <c r="C495" s="2">
        <v>24.850550021550589</v>
      </c>
      <c r="AN495" s="3">
        <f t="shared" si="38"/>
        <v>51.991198058385066</v>
      </c>
      <c r="AO495" s="3">
        <f t="shared" si="39"/>
        <v>26.489529850979011</v>
      </c>
    </row>
    <row r="496" spans="1:41" x14ac:dyDescent="0.3">
      <c r="A496" s="2">
        <v>3.7601011366404919</v>
      </c>
      <c r="B496" s="2">
        <v>31.620275552803118</v>
      </c>
      <c r="C496" s="2">
        <v>36.199868933393539</v>
      </c>
      <c r="AN496" s="3">
        <f t="shared" si="38"/>
        <v>40.298635930978136</v>
      </c>
      <c r="AO496" s="3">
        <f t="shared" si="39"/>
        <v>38.471265423023979</v>
      </c>
    </row>
    <row r="497" spans="1:41" x14ac:dyDescent="0.3">
      <c r="A497" s="2">
        <v>8.5751244478399222</v>
      </c>
      <c r="B497" s="2">
        <v>20.77061515421352</v>
      </c>
      <c r="C497" s="2">
        <v>35.802471347703381</v>
      </c>
      <c r="AN497" s="3">
        <f t="shared" si="38"/>
        <v>20.263860006004325</v>
      </c>
      <c r="AO497" s="3">
        <f t="shared" si="39"/>
        <v>33.699456608319743</v>
      </c>
    </row>
    <row r="498" spans="1:41" x14ac:dyDescent="0.3">
      <c r="A498" s="2">
        <v>9.46223040116897</v>
      </c>
      <c r="B498" s="2">
        <v>23.270023839819501</v>
      </c>
      <c r="C498" s="2">
        <v>32.581849382004037</v>
      </c>
      <c r="AN498" s="3">
        <f t="shared" si="38"/>
        <v>4.0085287479409617</v>
      </c>
      <c r="AO498" s="3">
        <f t="shared" si="39"/>
        <v>6.6796471826707284</v>
      </c>
    </row>
    <row r="499" spans="1:41" x14ac:dyDescent="0.3">
      <c r="A499" s="2">
        <v>1.3381454570712339</v>
      </c>
      <c r="B499" s="2">
        <v>20.681220047293131</v>
      </c>
      <c r="C499" s="2">
        <v>30.54516096095108</v>
      </c>
      <c r="AN499" s="3">
        <f t="shared" si="38"/>
        <v>21.076682743380594</v>
      </c>
      <c r="AO499" s="3">
        <f t="shared" si="39"/>
        <v>0.30009899548132907</v>
      </c>
    </row>
    <row r="500" spans="1:41" x14ac:dyDescent="0.3">
      <c r="A500" s="2">
        <v>17.755685931073071</v>
      </c>
      <c r="B500" s="2">
        <v>25.53749499116757</v>
      </c>
      <c r="C500" s="2">
        <v>42.865562770346898</v>
      </c>
      <c r="AN500" s="3">
        <f t="shared" si="38"/>
        <v>7.0405368513105221E-2</v>
      </c>
      <c r="AO500" s="3">
        <f t="shared" si="39"/>
        <v>165.59095032565435</v>
      </c>
    </row>
    <row r="501" spans="1:41" x14ac:dyDescent="0.3">
      <c r="A501" s="2">
        <v>13.707154643467129</v>
      </c>
      <c r="B501" s="2">
        <v>23.795112224825949</v>
      </c>
      <c r="C501" s="2">
        <v>39.225155018063091</v>
      </c>
      <c r="AN501" s="3">
        <f t="shared" si="38"/>
        <v>2.1816550390558569</v>
      </c>
      <c r="AO501" s="3">
        <f t="shared" si="39"/>
        <v>85.15242160957277</v>
      </c>
    </row>
    <row r="502" spans="1:41" x14ac:dyDescent="0.3">
      <c r="A502" s="2">
        <v>6.6755148800405077</v>
      </c>
      <c r="B502" s="2">
        <v>24.160552176179301</v>
      </c>
      <c r="C502" s="2">
        <v>27.36689763862859</v>
      </c>
      <c r="AN502" s="3">
        <f t="shared" si="38"/>
        <v>1.2356605966182401</v>
      </c>
      <c r="AO502" s="3">
        <f t="shared" si="39"/>
        <v>6.9192693182987348</v>
      </c>
    </row>
    <row r="503" spans="1:41" x14ac:dyDescent="0.3">
      <c r="A503" s="2">
        <v>31.118719411551741</v>
      </c>
      <c r="B503" s="2">
        <v>24.587806583811151</v>
      </c>
      <c r="C503" s="2">
        <v>31.154929186023029</v>
      </c>
      <c r="AN503" s="3">
        <f t="shared" si="38"/>
        <v>0.46833260618111616</v>
      </c>
      <c r="AO503" s="3">
        <f t="shared" si="39"/>
        <v>1.3399941077692579</v>
      </c>
    </row>
    <row r="504" spans="1:41" x14ac:dyDescent="0.3">
      <c r="A504" s="2">
        <v>31.19538699736896</v>
      </c>
      <c r="B504" s="2">
        <v>19.82592258804781</v>
      </c>
      <c r="C504" s="2">
        <v>19.924243283883559</v>
      </c>
      <c r="AN504" s="3">
        <f t="shared" si="38"/>
        <v>29.661446302724659</v>
      </c>
      <c r="AO504" s="3">
        <f t="shared" si="39"/>
        <v>101.46743944387008</v>
      </c>
    </row>
    <row r="505" spans="1:41" x14ac:dyDescent="0.3">
      <c r="A505" s="2">
        <v>15.89099419407129</v>
      </c>
      <c r="B505" s="2">
        <v>27.231520741946461</v>
      </c>
      <c r="C505" s="2">
        <v>28.506903072702229</v>
      </c>
      <c r="AN505" s="3">
        <f t="shared" si="38"/>
        <v>3.8391145360546171</v>
      </c>
      <c r="AO505" s="3">
        <f t="shared" si="39"/>
        <v>2.2214262029364642</v>
      </c>
    </row>
    <row r="506" spans="1:41" x14ac:dyDescent="0.3">
      <c r="A506" s="2">
        <v>21.35458316090455</v>
      </c>
      <c r="B506" s="2">
        <v>28.923261394208481</v>
      </c>
      <c r="C506" s="2">
        <v>26.194317527212728</v>
      </c>
      <c r="AN506" s="3">
        <f t="shared" si="38"/>
        <v>13.330578694416126</v>
      </c>
      <c r="AO506" s="3">
        <f t="shared" si="39"/>
        <v>14.463041087297555</v>
      </c>
    </row>
    <row r="507" spans="1:41" x14ac:dyDescent="0.3">
      <c r="A507" s="2">
        <v>33.213932171555477</v>
      </c>
      <c r="B507" s="2">
        <v>16.333668162748641</v>
      </c>
      <c r="C507" s="2">
        <v>32.394184983004017</v>
      </c>
      <c r="AN507" s="3">
        <f t="shared" si="38"/>
        <v>79.896544999339596</v>
      </c>
      <c r="AO507" s="3">
        <f t="shared" si="39"/>
        <v>5.7448273275002331</v>
      </c>
    </row>
    <row r="508" spans="1:41" x14ac:dyDescent="0.3">
      <c r="A508" s="2">
        <v>17.464446862608071</v>
      </c>
      <c r="B508" s="2">
        <v>25.711499228057509</v>
      </c>
      <c r="C508" s="2">
        <v>34.381995784560559</v>
      </c>
      <c r="AN508" s="3">
        <f t="shared" si="38"/>
        <v>0.19302344610077213</v>
      </c>
      <c r="AO508" s="3">
        <f t="shared" si="39"/>
        <v>19.225135836839552</v>
      </c>
    </row>
    <row r="509" spans="1:41" x14ac:dyDescent="0.3">
      <c r="A509" s="2">
        <v>9.1198553415606618</v>
      </c>
      <c r="B509" s="2">
        <v>23.783610646301959</v>
      </c>
      <c r="C509" s="2">
        <v>28.603426041828001</v>
      </c>
      <c r="AN509" s="3">
        <f t="shared" si="38"/>
        <v>2.2157639697915399</v>
      </c>
      <c r="AO509" s="3">
        <f t="shared" si="39"/>
        <v>1.9430185392260422</v>
      </c>
    </row>
    <row r="510" spans="1:41" x14ac:dyDescent="0.3">
      <c r="A510" s="2">
        <v>9.7989439744031976</v>
      </c>
      <c r="B510" s="2">
        <v>19.521013221547609</v>
      </c>
      <c r="C510" s="2">
        <v>41.600234903443692</v>
      </c>
      <c r="AN510" s="3">
        <f t="shared" si="38"/>
        <v>33.075630507396575</v>
      </c>
      <c r="AO510" s="3">
        <f t="shared" si="39"/>
        <v>134.62698354724341</v>
      </c>
    </row>
    <row r="511" spans="1:41" x14ac:dyDescent="0.3">
      <c r="A511" s="2">
        <v>9.5805726368992659</v>
      </c>
      <c r="B511" s="2">
        <v>21.886882699608972</v>
      </c>
      <c r="C511" s="2">
        <v>32.238082745078117</v>
      </c>
      <c r="AN511" s="3">
        <f t="shared" si="38"/>
        <v>11.460067812916268</v>
      </c>
      <c r="AO511" s="3">
        <f t="shared" si="39"/>
        <v>5.020892014943561</v>
      </c>
    </row>
    <row r="512" spans="1:41" x14ac:dyDescent="0.3">
      <c r="A512" s="2">
        <v>8.6114910799274185</v>
      </c>
      <c r="B512" s="2">
        <v>29.461935604833371</v>
      </c>
      <c r="C512" s="2">
        <v>22.03966937941669</v>
      </c>
      <c r="AN512" s="3">
        <f t="shared" si="38"/>
        <v>17.55426242615993</v>
      </c>
      <c r="AO512" s="3">
        <f t="shared" si="39"/>
        <v>63.32464967788065</v>
      </c>
    </row>
    <row r="513" spans="1:41" x14ac:dyDescent="0.3">
      <c r="A513" s="2">
        <v>12.76283539362149</v>
      </c>
      <c r="B513" s="2">
        <v>22.404263049983459</v>
      </c>
      <c r="C513" s="2">
        <v>26.406622947709749</v>
      </c>
      <c r="AN513" s="3">
        <f t="shared" si="38"/>
        <v>8.2248036144046548</v>
      </c>
      <c r="AO513" s="3">
        <f t="shared" si="39"/>
        <v>12.893306694168466</v>
      </c>
    </row>
    <row r="514" spans="1:41" x14ac:dyDescent="0.3">
      <c r="A514" s="2">
        <v>19.62079136941529</v>
      </c>
      <c r="B514" s="2">
        <v>23.387909300564999</v>
      </c>
      <c r="C514" s="2">
        <v>27.64529354794886</v>
      </c>
      <c r="AN514" s="3">
        <f t="shared" si="38"/>
        <v>3.5503814468052477</v>
      </c>
      <c r="AO514" s="3">
        <f t="shared" si="39"/>
        <v>5.5321603373546457</v>
      </c>
    </row>
    <row r="515" spans="1:41" x14ac:dyDescent="0.3">
      <c r="A515" s="2">
        <v>16.864937815435091</v>
      </c>
      <c r="B515" s="2">
        <v>22.655775885887611</v>
      </c>
      <c r="C515" s="2">
        <v>31.127865939740559</v>
      </c>
      <c r="AN515" s="3">
        <f t="shared" ref="AN515:AN578" si="40">(B515-$AK$2)^2</f>
        <v>6.8454391007971838</v>
      </c>
      <c r="AO515" s="3">
        <f t="shared" ref="AO515:AO578" si="41">(C515-$AK$3)^2</f>
        <v>1.2780707198185288</v>
      </c>
    </row>
    <row r="516" spans="1:41" x14ac:dyDescent="0.3">
      <c r="A516" s="2">
        <v>1.346406349181003</v>
      </c>
      <c r="B516" s="2">
        <v>29.589237529144711</v>
      </c>
      <c r="C516" s="2">
        <v>28.458775478414651</v>
      </c>
      <c r="AN516" s="3">
        <f t="shared" si="40"/>
        <v>18.637202500603369</v>
      </c>
      <c r="AO516" s="3">
        <f t="shared" si="41"/>
        <v>2.3672055297337926</v>
      </c>
    </row>
    <row r="517" spans="1:41" x14ac:dyDescent="0.3">
      <c r="A517" s="2">
        <v>8.4920050720404117</v>
      </c>
      <c r="B517" s="2">
        <v>29.78054381891894</v>
      </c>
      <c r="C517" s="2">
        <v>30.474409788670862</v>
      </c>
      <c r="AN517" s="3">
        <f t="shared" si="40"/>
        <v>20.32557072123916</v>
      </c>
      <c r="AO517" s="3">
        <f t="shared" si="41"/>
        <v>0.22758791127888089</v>
      </c>
    </row>
    <row r="518" spans="1:41" x14ac:dyDescent="0.3">
      <c r="A518" s="2">
        <v>7.9187907795054358</v>
      </c>
      <c r="B518" s="2">
        <v>18.385284972909119</v>
      </c>
      <c r="C518" s="2">
        <v>25.0331359171198</v>
      </c>
      <c r="AN518" s="3">
        <f t="shared" si="40"/>
        <v>47.428977275033695</v>
      </c>
      <c r="AO518" s="3">
        <f t="shared" si="41"/>
        <v>24.64340200892179</v>
      </c>
    </row>
    <row r="519" spans="1:41" x14ac:dyDescent="0.3">
      <c r="A519" s="2">
        <v>15.034173484404359</v>
      </c>
      <c r="B519" s="2">
        <v>26.306347211830118</v>
      </c>
      <c r="C519" s="2">
        <v>22.8612793945832</v>
      </c>
      <c r="AN519" s="3">
        <f t="shared" si="40"/>
        <v>1.0695537555136292</v>
      </c>
      <c r="AO519" s="3">
        <f t="shared" si="41"/>
        <v>50.923475723559172</v>
      </c>
    </row>
    <row r="520" spans="1:41" x14ac:dyDescent="0.3">
      <c r="A520" s="2">
        <v>29.34343110786897</v>
      </c>
      <c r="B520" s="2">
        <v>25.93669103957038</v>
      </c>
      <c r="C520" s="2">
        <v>31.109989788888971</v>
      </c>
      <c r="AN520" s="3">
        <f t="shared" si="40"/>
        <v>0.44160829214608799</v>
      </c>
      <c r="AO520" s="3">
        <f t="shared" si="41"/>
        <v>1.2379716595841352</v>
      </c>
    </row>
    <row r="521" spans="1:41" x14ac:dyDescent="0.3">
      <c r="A521" s="2">
        <v>5.7139987619984831</v>
      </c>
      <c r="B521" s="2">
        <v>28.950971184456868</v>
      </c>
      <c r="C521" s="2">
        <v>23.360621519329101</v>
      </c>
      <c r="AN521" s="3">
        <f t="shared" si="40"/>
        <v>13.533689317623132</v>
      </c>
      <c r="AO521" s="3">
        <f t="shared" si="41"/>
        <v>44.046138920833073</v>
      </c>
    </row>
    <row r="522" spans="1:41" x14ac:dyDescent="0.3">
      <c r="A522" s="2">
        <v>11.51142120807703</v>
      </c>
      <c r="B522" s="2">
        <v>31.241859934384291</v>
      </c>
      <c r="C522" s="2">
        <v>29.108734375440111</v>
      </c>
      <c r="AN522" s="3">
        <f t="shared" si="40"/>
        <v>35.637378299522055</v>
      </c>
      <c r="AO522" s="3">
        <f t="shared" si="41"/>
        <v>0.78963424626940426</v>
      </c>
    </row>
    <row r="523" spans="1:41" x14ac:dyDescent="0.3">
      <c r="A523" s="2">
        <v>14.039552740352651</v>
      </c>
      <c r="B523" s="2">
        <v>22.711145072972329</v>
      </c>
      <c r="C523" s="2">
        <v>28.63134646925576</v>
      </c>
      <c r="AN523" s="3">
        <f t="shared" si="40"/>
        <v>6.5587712903875319</v>
      </c>
      <c r="AO523" s="3">
        <f t="shared" si="41"/>
        <v>1.8659602934691231</v>
      </c>
    </row>
    <row r="524" spans="1:41" x14ac:dyDescent="0.3">
      <c r="A524" s="2">
        <v>1.655011394768338</v>
      </c>
      <c r="B524" s="2">
        <v>23.400718483636972</v>
      </c>
      <c r="C524" s="2">
        <v>20.79093441930458</v>
      </c>
      <c r="AN524" s="3">
        <f t="shared" si="40"/>
        <v>3.5022742285235706</v>
      </c>
      <c r="AO524" s="3">
        <f t="shared" si="41"/>
        <v>84.758051770108906</v>
      </c>
    </row>
    <row r="525" spans="1:41" x14ac:dyDescent="0.3">
      <c r="A525" s="2">
        <v>15.75760865914514</v>
      </c>
      <c r="B525" s="2">
        <v>31.249857065818158</v>
      </c>
      <c r="C525" s="2">
        <v>33.928933685973988</v>
      </c>
      <c r="AN525" s="3">
        <f t="shared" si="40"/>
        <v>35.73292328533261</v>
      </c>
      <c r="AO525" s="3">
        <f t="shared" si="41"/>
        <v>15.45736568531574</v>
      </c>
    </row>
    <row r="526" spans="1:41" x14ac:dyDescent="0.3">
      <c r="A526" s="2">
        <v>14.1858331283656</v>
      </c>
      <c r="B526" s="2">
        <v>25.438031888436331</v>
      </c>
      <c r="C526" s="2">
        <v>25.747652530426219</v>
      </c>
      <c r="AN526" s="3">
        <f t="shared" si="40"/>
        <v>2.7515178126062134E-2</v>
      </c>
      <c r="AO526" s="3">
        <f t="shared" si="41"/>
        <v>18.059911930915305</v>
      </c>
    </row>
    <row r="527" spans="1:41" x14ac:dyDescent="0.3">
      <c r="A527" s="2">
        <v>30.23786655128519</v>
      </c>
      <c r="B527" s="2">
        <v>21.546793161868688</v>
      </c>
      <c r="C527" s="2">
        <v>32.326768609842077</v>
      </c>
      <c r="AN527" s="3">
        <f t="shared" si="40"/>
        <v>13.878320016299609</v>
      </c>
      <c r="AO527" s="3">
        <f t="shared" si="41"/>
        <v>5.4262001874630288</v>
      </c>
    </row>
    <row r="528" spans="1:41" x14ac:dyDescent="0.3">
      <c r="A528" s="2">
        <v>5.0014766838030988</v>
      </c>
      <c r="B528" s="2">
        <v>25.651380665407249</v>
      </c>
      <c r="C528" s="2">
        <v>38.164853479327739</v>
      </c>
      <c r="AN528" s="3">
        <f t="shared" si="40"/>
        <v>0.14381218762629308</v>
      </c>
      <c r="AO528" s="3">
        <f t="shared" si="41"/>
        <v>66.708145088333623</v>
      </c>
    </row>
    <row r="529" spans="1:41" x14ac:dyDescent="0.3">
      <c r="A529" s="2">
        <v>25.92838045050916</v>
      </c>
      <c r="B529" s="2">
        <v>21.19567175495142</v>
      </c>
      <c r="C529" s="2">
        <v>33.589008308201002</v>
      </c>
      <c r="AN529" s="3">
        <f t="shared" si="40"/>
        <v>16.617714762234499</v>
      </c>
      <c r="AO529" s="3">
        <f t="shared" si="41"/>
        <v>12.900023476406556</v>
      </c>
    </row>
    <row r="530" spans="1:41" x14ac:dyDescent="0.3">
      <c r="A530" s="2">
        <v>2.8733778400687631</v>
      </c>
      <c r="B530" s="2">
        <v>26.925862148229399</v>
      </c>
      <c r="C530" s="2">
        <v>29.070922029879821</v>
      </c>
      <c r="AN530" s="3">
        <f t="shared" si="40"/>
        <v>2.7347476910935287</v>
      </c>
      <c r="AO530" s="3">
        <f t="shared" si="41"/>
        <v>0.85826515371475931</v>
      </c>
    </row>
    <row r="531" spans="1:41" x14ac:dyDescent="0.3">
      <c r="A531" s="2">
        <v>0.20352277608519739</v>
      </c>
      <c r="B531" s="2">
        <v>30.557700037721141</v>
      </c>
      <c r="C531" s="2">
        <v>24.298448801237189</v>
      </c>
      <c r="AN531" s="3">
        <f t="shared" si="40"/>
        <v>27.936987493170321</v>
      </c>
      <c r="AO531" s="3">
        <f t="shared" si="41"/>
        <v>32.477452542722084</v>
      </c>
    </row>
    <row r="532" spans="1:41" x14ac:dyDescent="0.3">
      <c r="A532" s="2">
        <v>9.5485596460623849</v>
      </c>
      <c r="B532" s="2">
        <v>23.87229340218461</v>
      </c>
      <c r="C532" s="2">
        <v>28.326228010470221</v>
      </c>
      <c r="AN532" s="3">
        <f t="shared" si="40"/>
        <v>1.9596121891548246</v>
      </c>
      <c r="AO532" s="3">
        <f t="shared" si="41"/>
        <v>2.7926421557789327</v>
      </c>
    </row>
    <row r="533" spans="1:41" x14ac:dyDescent="0.3">
      <c r="A533" s="2">
        <v>22.20367094112186</v>
      </c>
      <c r="B533" s="2">
        <v>14.86068157729186</v>
      </c>
      <c r="C533" s="2">
        <v>27.326532456517128</v>
      </c>
      <c r="AN533" s="3">
        <f t="shared" si="40"/>
        <v>108.39877657162424</v>
      </c>
      <c r="AO533" s="3">
        <f t="shared" si="41"/>
        <v>7.1332558852634884</v>
      </c>
    </row>
    <row r="534" spans="1:41" x14ac:dyDescent="0.3">
      <c r="A534" s="2">
        <v>14.13322972217644</v>
      </c>
      <c r="B534" s="2">
        <v>21.59134897106129</v>
      </c>
      <c r="C534" s="2">
        <v>33.714901305803359</v>
      </c>
      <c r="AN534" s="3">
        <f t="shared" si="40"/>
        <v>13.548332223638281</v>
      </c>
      <c r="AO534" s="3">
        <f t="shared" si="41"/>
        <v>13.820202278115932</v>
      </c>
    </row>
    <row r="535" spans="1:41" x14ac:dyDescent="0.3">
      <c r="A535" s="2">
        <v>7.9525788697764996</v>
      </c>
      <c r="B535" s="2">
        <v>22.25304896517709</v>
      </c>
      <c r="C535" s="2">
        <v>30.778535610755029</v>
      </c>
      <c r="AN535" s="3">
        <f t="shared" si="40"/>
        <v>9.1150005941133792</v>
      </c>
      <c r="AO535" s="3">
        <f t="shared" si="41"/>
        <v>0.61025401944778757</v>
      </c>
    </row>
    <row r="536" spans="1:41" x14ac:dyDescent="0.3">
      <c r="A536" s="2">
        <v>6.7704440507572397</v>
      </c>
      <c r="B536" s="2">
        <v>20.644423387454811</v>
      </c>
      <c r="C536" s="2">
        <v>33.714638119286327</v>
      </c>
      <c r="AN536" s="3">
        <f t="shared" si="40"/>
        <v>21.415898873157207</v>
      </c>
      <c r="AO536" s="3">
        <f t="shared" si="41"/>
        <v>13.818245527591687</v>
      </c>
    </row>
    <row r="537" spans="1:41" x14ac:dyDescent="0.3">
      <c r="A537" s="2">
        <v>6.3880866932129017</v>
      </c>
      <c r="B537" s="2">
        <v>25.955578170832531</v>
      </c>
      <c r="C537" s="2">
        <v>25.943842626544249</v>
      </c>
      <c r="AN537" s="3">
        <f t="shared" si="40"/>
        <v>0.46706737878903143</v>
      </c>
      <c r="AO537" s="3">
        <f t="shared" si="41"/>
        <v>16.430906143423801</v>
      </c>
    </row>
    <row r="538" spans="1:41" x14ac:dyDescent="0.3">
      <c r="A538" s="2">
        <v>18.054219699941839</v>
      </c>
      <c r="B538" s="2">
        <v>27.959983676370459</v>
      </c>
      <c r="C538" s="2">
        <v>27.137837948790391</v>
      </c>
      <c r="AN538" s="3">
        <f t="shared" si="40"/>
        <v>7.2244235769960943</v>
      </c>
      <c r="AO538" s="3">
        <f t="shared" si="41"/>
        <v>8.1767979663211072</v>
      </c>
    </row>
    <row r="539" spans="1:41" x14ac:dyDescent="0.3">
      <c r="A539" s="2">
        <v>23.721535398675819</v>
      </c>
      <c r="B539" s="2">
        <v>26.674417795130179</v>
      </c>
      <c r="C539" s="2">
        <v>26.557083610706421</v>
      </c>
      <c r="AN539" s="3">
        <f t="shared" si="40"/>
        <v>1.9663412510110114</v>
      </c>
      <c r="AO539" s="3">
        <f t="shared" si="41"/>
        <v>11.835419348986717</v>
      </c>
    </row>
    <row r="540" spans="1:41" x14ac:dyDescent="0.3">
      <c r="A540" s="2">
        <v>12.62392016239629</v>
      </c>
      <c r="B540" s="2">
        <v>20.991732968740859</v>
      </c>
      <c r="C540" s="2">
        <v>31.54495593560442</v>
      </c>
      <c r="AN540" s="3">
        <f t="shared" si="40"/>
        <v>18.322011836490077</v>
      </c>
      <c r="AO540" s="3">
        <f t="shared" si="41"/>
        <v>2.3950901960521445</v>
      </c>
    </row>
    <row r="541" spans="1:41" x14ac:dyDescent="0.3">
      <c r="A541" s="2">
        <v>6.7968929372876126</v>
      </c>
      <c r="B541" s="2">
        <v>24.456059527650659</v>
      </c>
      <c r="C541" s="2">
        <v>27.21842459097109</v>
      </c>
      <c r="AN541" s="3">
        <f t="shared" si="40"/>
        <v>0.66601164283023317</v>
      </c>
      <c r="AO541" s="3">
        <f t="shared" si="41"/>
        <v>7.7224155400248611</v>
      </c>
    </row>
    <row r="542" spans="1:41" x14ac:dyDescent="0.3">
      <c r="A542" s="2">
        <v>11.787254288069439</v>
      </c>
      <c r="B542" s="2">
        <v>41.723135095880473</v>
      </c>
      <c r="C542" s="2">
        <v>28.106064980945138</v>
      </c>
      <c r="AN542" s="3">
        <f t="shared" si="40"/>
        <v>270.63474968625172</v>
      </c>
      <c r="AO542" s="3">
        <f t="shared" si="41"/>
        <v>3.5769516125047538</v>
      </c>
    </row>
    <row r="543" spans="1:41" x14ac:dyDescent="0.3">
      <c r="A543" s="2">
        <v>38.966597661199458</v>
      </c>
      <c r="B543" s="2">
        <v>25.563551428940169</v>
      </c>
      <c r="C543" s="2">
        <v>24.439303867894711</v>
      </c>
      <c r="AN543" s="3">
        <f t="shared" si="40"/>
        <v>8.4911942055741346E-2</v>
      </c>
      <c r="AO543" s="3">
        <f t="shared" si="41"/>
        <v>30.89185502799813</v>
      </c>
    </row>
    <row r="544" spans="1:41" x14ac:dyDescent="0.3">
      <c r="A544" s="2">
        <v>12.96217618275853</v>
      </c>
      <c r="B544" s="2">
        <v>24.123033728346581</v>
      </c>
      <c r="C544" s="2">
        <v>37.470714038175608</v>
      </c>
      <c r="AN544" s="3">
        <f t="shared" si="40"/>
        <v>1.3204794475139159</v>
      </c>
      <c r="AO544" s="3">
        <f t="shared" si="41"/>
        <v>55.851199330687294</v>
      </c>
    </row>
    <row r="545" spans="1:41" x14ac:dyDescent="0.3">
      <c r="A545" s="2">
        <v>10.229178778731839</v>
      </c>
      <c r="B545" s="2">
        <v>23.631205553354601</v>
      </c>
      <c r="C545" s="2">
        <v>31.055300940456359</v>
      </c>
      <c r="AN545" s="3">
        <f t="shared" si="40"/>
        <v>2.6927147302268031</v>
      </c>
      <c r="AO545" s="3">
        <f t="shared" si="41"/>
        <v>1.1192643378852645</v>
      </c>
    </row>
    <row r="546" spans="1:41" x14ac:dyDescent="0.3">
      <c r="A546" s="2">
        <v>14.771703444646031</v>
      </c>
      <c r="B546" s="2">
        <v>23.563977429316669</v>
      </c>
      <c r="C546" s="2">
        <v>21.49582439083774</v>
      </c>
      <c r="AN546" s="3">
        <f t="shared" si="40"/>
        <v>2.9178702421726155</v>
      </c>
      <c r="AO546" s="3">
        <f t="shared" si="41"/>
        <v>72.275904370916109</v>
      </c>
    </row>
    <row r="547" spans="1:41" x14ac:dyDescent="0.3">
      <c r="A547" s="2">
        <v>11.191445623457421</v>
      </c>
      <c r="B547" s="2">
        <v>25.448660370205971</v>
      </c>
      <c r="C547" s="2">
        <v>33.149741434490153</v>
      </c>
      <c r="AN547" s="3">
        <f t="shared" si="40"/>
        <v>3.1154184027532072E-2</v>
      </c>
      <c r="AO547" s="3">
        <f t="shared" si="41"/>
        <v>9.9375841085633407</v>
      </c>
    </row>
    <row r="548" spans="1:41" x14ac:dyDescent="0.3">
      <c r="A548" s="2">
        <v>23.843995019657331</v>
      </c>
      <c r="B548" s="2">
        <v>27.803432159160518</v>
      </c>
      <c r="C548" s="2">
        <v>24.318242713254829</v>
      </c>
      <c r="AN548" s="3">
        <f t="shared" si="40"/>
        <v>6.4073646059800931</v>
      </c>
      <c r="AO548" s="3">
        <f t="shared" si="41"/>
        <v>32.252237321384328</v>
      </c>
    </row>
    <row r="549" spans="1:41" x14ac:dyDescent="0.3">
      <c r="A549" s="2">
        <v>1.3694153874189561</v>
      </c>
      <c r="B549" s="2">
        <v>24.31408381461117</v>
      </c>
      <c r="C549" s="2">
        <v>38.977784385113168</v>
      </c>
      <c r="AN549" s="3">
        <f t="shared" si="40"/>
        <v>0.9179001882932587</v>
      </c>
      <c r="AO549" s="3">
        <f t="shared" si="41"/>
        <v>80.648236934209635</v>
      </c>
    </row>
    <row r="550" spans="1:41" x14ac:dyDescent="0.3">
      <c r="A550" s="2">
        <v>22.550103314287352</v>
      </c>
      <c r="B550" s="2">
        <v>27.938020946891609</v>
      </c>
      <c r="C550" s="2">
        <v>33.466290923646703</v>
      </c>
      <c r="AN550" s="3">
        <f t="shared" si="40"/>
        <v>7.1068418255053176</v>
      </c>
      <c r="AO550" s="3">
        <f t="shared" si="41"/>
        <v>12.033564724433012</v>
      </c>
    </row>
    <row r="551" spans="1:41" x14ac:dyDescent="0.3">
      <c r="A551" s="2">
        <v>0.42706735445802418</v>
      </c>
      <c r="B551" s="2">
        <v>26.932297055213979</v>
      </c>
      <c r="C551" s="2">
        <v>26.324394292005309</v>
      </c>
      <c r="AN551" s="3">
        <f t="shared" si="40"/>
        <v>2.7560720038755093</v>
      </c>
      <c r="AO551" s="3">
        <f t="shared" si="41"/>
        <v>13.490589240805923</v>
      </c>
    </row>
    <row r="552" spans="1:41" x14ac:dyDescent="0.3">
      <c r="A552" s="2">
        <v>0.99553770711378664</v>
      </c>
      <c r="B552" s="2">
        <v>21.097096843594251</v>
      </c>
      <c r="C552" s="2">
        <v>38.852607217645101</v>
      </c>
      <c r="AN552" s="3">
        <f t="shared" si="40"/>
        <v>17.431109703044122</v>
      </c>
      <c r="AO552" s="3">
        <f t="shared" si="41"/>
        <v>78.41561508904887</v>
      </c>
    </row>
    <row r="553" spans="1:41" x14ac:dyDescent="0.3">
      <c r="A553" s="2">
        <v>3.7432294697860149</v>
      </c>
      <c r="B553" s="2">
        <v>23.201566080309629</v>
      </c>
      <c r="C553" s="2">
        <v>38.085109074521668</v>
      </c>
      <c r="AN553" s="3">
        <f t="shared" si="40"/>
        <v>4.2873380248589061</v>
      </c>
      <c r="AO553" s="3">
        <f t="shared" si="41"/>
        <v>65.411878538540464</v>
      </c>
    </row>
    <row r="554" spans="1:41" x14ac:dyDescent="0.3">
      <c r="A554" s="2">
        <v>30.122433515851409</v>
      </c>
      <c r="B554" s="2">
        <v>24.472068259677119</v>
      </c>
      <c r="C554" s="2">
        <v>35.645362875974477</v>
      </c>
      <c r="AN554" s="3">
        <f t="shared" si="40"/>
        <v>0.64013861835682473</v>
      </c>
      <c r="AO554" s="3">
        <f t="shared" si="41"/>
        <v>31.900071578318769</v>
      </c>
    </row>
    <row r="555" spans="1:41" x14ac:dyDescent="0.3">
      <c r="A555" s="2">
        <v>10.07784057064343</v>
      </c>
      <c r="B555" s="2">
        <v>29.8339462958963</v>
      </c>
      <c r="C555" s="2">
        <v>26.67996467900748</v>
      </c>
      <c r="AN555" s="3">
        <f t="shared" si="40"/>
        <v>20.809940817593763</v>
      </c>
      <c r="AO555" s="3">
        <f t="shared" si="41"/>
        <v>11.005032369116764</v>
      </c>
    </row>
    <row r="556" spans="1:41" x14ac:dyDescent="0.3">
      <c r="A556" s="2">
        <v>6.3316038708116453</v>
      </c>
      <c r="B556" s="2">
        <v>27.85028041180805</v>
      </c>
      <c r="C556" s="2">
        <v>29.16379713765232</v>
      </c>
      <c r="AN556" s="3">
        <f t="shared" si="40"/>
        <v>6.6467311986726463</v>
      </c>
      <c r="AO556" s="3">
        <f t="shared" si="41"/>
        <v>0.69480710814306601</v>
      </c>
    </row>
    <row r="557" spans="1:41" x14ac:dyDescent="0.3">
      <c r="A557" s="2">
        <v>4.377402255054891</v>
      </c>
      <c r="B557" s="2">
        <v>16.01996921347196</v>
      </c>
      <c r="C557" s="2">
        <v>24.43209626026848</v>
      </c>
      <c r="AN557" s="3">
        <f t="shared" si="40"/>
        <v>85.602939819957172</v>
      </c>
      <c r="AO557" s="3">
        <f t="shared" si="41"/>
        <v>30.97202738074099</v>
      </c>
    </row>
    <row r="558" spans="1:41" x14ac:dyDescent="0.3">
      <c r="A558" s="2">
        <v>2.4141265478765241</v>
      </c>
      <c r="B558" s="2">
        <v>25.742198303497759</v>
      </c>
      <c r="C558" s="2">
        <v>23.69959114351602</v>
      </c>
      <c r="AN558" s="3">
        <f t="shared" si="40"/>
        <v>0.2209408092005978</v>
      </c>
      <c r="AO558" s="3">
        <f t="shared" si="41"/>
        <v>39.661741937323853</v>
      </c>
    </row>
    <row r="559" spans="1:41" x14ac:dyDescent="0.3">
      <c r="A559" s="2">
        <v>10.70564255921192</v>
      </c>
      <c r="B559" s="2">
        <v>31.72515543358989</v>
      </c>
      <c r="C559" s="2">
        <v>34.76168201948613</v>
      </c>
      <c r="AN559" s="3">
        <f t="shared" si="40"/>
        <v>41.641215996735518</v>
      </c>
      <c r="AO559" s="3">
        <f t="shared" si="41"/>
        <v>22.698878260436043</v>
      </c>
    </row>
    <row r="560" spans="1:41" x14ac:dyDescent="0.3">
      <c r="A560" s="2">
        <v>4.9609160914643367</v>
      </c>
      <c r="B560" s="2">
        <v>20.493012642160171</v>
      </c>
      <c r="C560" s="2">
        <v>27.74004341698728</v>
      </c>
      <c r="AN560" s="3">
        <f t="shared" si="40"/>
        <v>22.840200639037551</v>
      </c>
      <c r="AO560" s="3">
        <f t="shared" si="41"/>
        <v>5.0954241646991569</v>
      </c>
    </row>
    <row r="561" spans="1:41" x14ac:dyDescent="0.3">
      <c r="A561" s="2">
        <v>37.426820280938891</v>
      </c>
      <c r="B561" s="2">
        <v>31.386167238404589</v>
      </c>
      <c r="C561" s="2">
        <v>33.455526068708437</v>
      </c>
      <c r="AN561" s="3">
        <f t="shared" si="40"/>
        <v>37.381146978597378</v>
      </c>
      <c r="AO561" s="3">
        <f t="shared" si="41"/>
        <v>11.958995272688965</v>
      </c>
    </row>
    <row r="562" spans="1:41" x14ac:dyDescent="0.3">
      <c r="A562" s="2">
        <v>18.872297322148299</v>
      </c>
      <c r="B562" s="2">
        <v>29.3251140186171</v>
      </c>
      <c r="C562" s="2">
        <v>31.990055865466509</v>
      </c>
      <c r="AN562" s="3">
        <f t="shared" si="40"/>
        <v>16.426477686410351</v>
      </c>
      <c r="AO562" s="3">
        <f t="shared" si="41"/>
        <v>3.9708844744757665</v>
      </c>
    </row>
    <row r="563" spans="1:41" x14ac:dyDescent="0.3">
      <c r="A563" s="2">
        <v>14.97795294829198</v>
      </c>
      <c r="B563" s="2">
        <v>27.21726847876096</v>
      </c>
      <c r="C563" s="2">
        <v>26.498356347586551</v>
      </c>
      <c r="AN563" s="3">
        <f t="shared" si="40"/>
        <v>3.7834668675048788</v>
      </c>
      <c r="AO563" s="3">
        <f t="shared" si="41"/>
        <v>12.242942869196673</v>
      </c>
    </row>
    <row r="564" spans="1:41" x14ac:dyDescent="0.3">
      <c r="A564" s="2">
        <v>3.492705462378678</v>
      </c>
      <c r="B564" s="2">
        <v>27.557073668486129</v>
      </c>
      <c r="C564" s="2">
        <v>36.821504781937527</v>
      </c>
      <c r="AN564" s="3">
        <f t="shared" si="40"/>
        <v>5.2208538176090125</v>
      </c>
      <c r="AO564" s="3">
        <f t="shared" si="41"/>
        <v>46.569115227573839</v>
      </c>
    </row>
    <row r="565" spans="1:41" x14ac:dyDescent="0.3">
      <c r="A565" s="2">
        <v>2.1164781256547638</v>
      </c>
      <c r="B565" s="2">
        <v>35.50576073376169</v>
      </c>
      <c r="C565" s="2">
        <v>34.363169123932643</v>
      </c>
      <c r="AN565" s="3">
        <f t="shared" si="40"/>
        <v>104.72668853560216</v>
      </c>
      <c r="AO565" s="3">
        <f t="shared" si="41"/>
        <v>19.060393729900586</v>
      </c>
    </row>
    <row r="566" spans="1:41" x14ac:dyDescent="0.3">
      <c r="A566" s="2">
        <v>52.381693271158611</v>
      </c>
      <c r="B566" s="2">
        <v>19.938809782191178</v>
      </c>
      <c r="C566" s="2">
        <v>23.738574769262339</v>
      </c>
      <c r="AN566" s="3">
        <f t="shared" si="40"/>
        <v>28.444570054555989</v>
      </c>
      <c r="AO566" s="3">
        <f t="shared" si="41"/>
        <v>39.172242864549929</v>
      </c>
    </row>
    <row r="567" spans="1:41" x14ac:dyDescent="0.3">
      <c r="A567" s="2">
        <v>0.3347176769554982</v>
      </c>
      <c r="B567" s="2">
        <v>26.804104609734111</v>
      </c>
      <c r="C567" s="2">
        <v>29.457072963082169</v>
      </c>
      <c r="AN567" s="3">
        <f t="shared" si="40"/>
        <v>2.3468699393217562</v>
      </c>
      <c r="AO567" s="3">
        <f t="shared" si="41"/>
        <v>0.29189715960608964</v>
      </c>
    </row>
    <row r="568" spans="1:41" x14ac:dyDescent="0.3">
      <c r="A568" s="2">
        <v>19.22285698161453</v>
      </c>
      <c r="B568" s="2">
        <v>20.544284130929132</v>
      </c>
      <c r="C568" s="2">
        <v>32.736485270576871</v>
      </c>
      <c r="AN568" s="3">
        <f t="shared" si="40"/>
        <v>22.352761928277705</v>
      </c>
      <c r="AO568" s="3">
        <f t="shared" si="41"/>
        <v>7.502872763534091</v>
      </c>
    </row>
    <row r="569" spans="1:41" x14ac:dyDescent="0.3">
      <c r="A569" s="2">
        <v>7.5601940092948228</v>
      </c>
      <c r="B569" s="2">
        <v>28.820343695672971</v>
      </c>
      <c r="C569" s="2">
        <v>33.59004001529491</v>
      </c>
      <c r="AN569" s="3">
        <f t="shared" si="40"/>
        <v>12.589643790346045</v>
      </c>
      <c r="AO569" s="3">
        <f t="shared" si="41"/>
        <v>12.90743562357965</v>
      </c>
    </row>
    <row r="570" spans="1:41" x14ac:dyDescent="0.3">
      <c r="A570" s="2">
        <v>23.028877322149139</v>
      </c>
      <c r="B570" s="2">
        <v>26.428451315923159</v>
      </c>
      <c r="C570" s="2">
        <v>27.036466357502061</v>
      </c>
      <c r="AN570" s="3">
        <f t="shared" si="40"/>
        <v>1.3370214212275144</v>
      </c>
      <c r="AO570" s="3">
        <f t="shared" si="41"/>
        <v>8.766820342506124</v>
      </c>
    </row>
    <row r="571" spans="1:41" x14ac:dyDescent="0.3">
      <c r="A571" s="2">
        <v>6.9011267271283234</v>
      </c>
      <c r="B571" s="2">
        <v>26.239787330823251</v>
      </c>
      <c r="C571" s="2">
        <v>19.995248572105229</v>
      </c>
      <c r="AN571" s="3">
        <f t="shared" si="40"/>
        <v>0.93631253770910472</v>
      </c>
      <c r="AO571" s="3">
        <f t="shared" si="41"/>
        <v>100.04199378172126</v>
      </c>
    </row>
    <row r="572" spans="1:41" x14ac:dyDescent="0.3">
      <c r="A572" s="2">
        <v>0.84748016965887618</v>
      </c>
      <c r="B572" s="2">
        <v>27.71034979252433</v>
      </c>
      <c r="C572" s="2">
        <v>28.30909399788203</v>
      </c>
      <c r="AN572" s="3">
        <f t="shared" si="40"/>
        <v>5.9447943755786881</v>
      </c>
      <c r="AO572" s="3">
        <f t="shared" si="41"/>
        <v>2.8502017134384983</v>
      </c>
    </row>
    <row r="573" spans="1:41" x14ac:dyDescent="0.3">
      <c r="A573" s="2">
        <v>17.17876442684247</v>
      </c>
      <c r="B573" s="2">
        <v>27.594632325045701</v>
      </c>
      <c r="C573" s="2">
        <v>43.505885425486618</v>
      </c>
      <c r="AN573" s="3">
        <f t="shared" si="40"/>
        <v>5.3939014295172942</v>
      </c>
      <c r="AO573" s="3">
        <f t="shared" si="41"/>
        <v>182.48058227339894</v>
      </c>
    </row>
    <row r="574" spans="1:41" x14ac:dyDescent="0.3">
      <c r="A574" s="2">
        <v>1.6445362155356791</v>
      </c>
      <c r="B574" s="2">
        <v>29.583677580495909</v>
      </c>
      <c r="C574" s="2">
        <v>29.3481503723815</v>
      </c>
      <c r="AN574" s="3">
        <f t="shared" si="40"/>
        <v>18.589227898076018</v>
      </c>
      <c r="AO574" s="3">
        <f t="shared" si="41"/>
        <v>0.42145761268371862</v>
      </c>
    </row>
    <row r="575" spans="1:41" x14ac:dyDescent="0.3">
      <c r="A575" s="2">
        <v>4.7905771349715316</v>
      </c>
      <c r="B575" s="2">
        <v>29.686430351554691</v>
      </c>
      <c r="C575" s="2">
        <v>31.257499767087541</v>
      </c>
      <c r="AN575" s="3">
        <f t="shared" si="40"/>
        <v>19.485827837598887</v>
      </c>
      <c r="AO575" s="3">
        <f t="shared" si="41"/>
        <v>1.5879823732582836</v>
      </c>
    </row>
    <row r="576" spans="1:41" x14ac:dyDescent="0.3">
      <c r="A576" s="2">
        <v>6.263038787231741</v>
      </c>
      <c r="B576" s="2">
        <v>31.403232554167449</v>
      </c>
      <c r="C576" s="2">
        <v>29.317396879913691</v>
      </c>
      <c r="AN576" s="3">
        <f t="shared" si="40"/>
        <v>37.590113306156752</v>
      </c>
      <c r="AO576" s="3">
        <f t="shared" si="41"/>
        <v>0.46233358119451723</v>
      </c>
    </row>
    <row r="577" spans="1:41" x14ac:dyDescent="0.3">
      <c r="A577" s="2">
        <v>6.5959495750637034</v>
      </c>
      <c r="B577" s="2">
        <v>31.436089666703719</v>
      </c>
      <c r="C577" s="2">
        <v>31.759819974437139</v>
      </c>
      <c r="AN577" s="3">
        <f t="shared" si="40"/>
        <v>37.99409191346539</v>
      </c>
      <c r="AO577" s="3">
        <f t="shared" si="41"/>
        <v>3.1063073168485853</v>
      </c>
    </row>
    <row r="578" spans="1:41" x14ac:dyDescent="0.3">
      <c r="A578" s="2">
        <v>8.5494419284887364</v>
      </c>
      <c r="B578" s="2">
        <v>20.65715701111111</v>
      </c>
      <c r="C578" s="2">
        <v>20.889108879048479</v>
      </c>
      <c r="AN578" s="3">
        <f t="shared" si="40"/>
        <v>21.298205435619842</v>
      </c>
      <c r="AO578" s="3">
        <f t="shared" si="41"/>
        <v>82.960020627716005</v>
      </c>
    </row>
    <row r="579" spans="1:41" x14ac:dyDescent="0.3">
      <c r="A579" s="2">
        <v>6.4147110464112584</v>
      </c>
      <c r="B579" s="2">
        <v>33.290286013837807</v>
      </c>
      <c r="C579" s="2">
        <v>23.6891500691079</v>
      </c>
      <c r="AN579" s="3">
        <f t="shared" ref="AN579:AN642" si="42">(B579-$AK$2)^2</f>
        <v>64.290426695652116</v>
      </c>
      <c r="AO579" s="3">
        <f t="shared" ref="AO579:AO642" si="43">(C579-$AK$3)^2</f>
        <v>39.793361650096308</v>
      </c>
    </row>
    <row r="580" spans="1:41" x14ac:dyDescent="0.3">
      <c r="A580" s="2">
        <v>64.795342204685454</v>
      </c>
      <c r="B580" s="2">
        <v>30.134927909667969</v>
      </c>
      <c r="C580" s="2">
        <v>30.674093542735051</v>
      </c>
      <c r="AN580" s="3">
        <f t="shared" si="42"/>
        <v>23.646561426616607</v>
      </c>
      <c r="AO580" s="3">
        <f t="shared" si="43"/>
        <v>0.45798447438546436</v>
      </c>
    </row>
    <row r="581" spans="1:41" x14ac:dyDescent="0.3">
      <c r="A581" s="2">
        <v>5.063709484511703</v>
      </c>
      <c r="B581" s="2">
        <v>32.682184175876813</v>
      </c>
      <c r="C581" s="2">
        <v>21.830671170189159</v>
      </c>
      <c r="AN581" s="3">
        <f t="shared" si="42"/>
        <v>54.908533995922625</v>
      </c>
      <c r="AO581" s="3">
        <f t="shared" si="43"/>
        <v>66.694611109016648</v>
      </c>
    </row>
    <row r="582" spans="1:41" x14ac:dyDescent="0.3">
      <c r="A582" s="2">
        <v>6.2303934154493632</v>
      </c>
      <c r="B582" s="2">
        <v>19.560750955255859</v>
      </c>
      <c r="C582" s="2">
        <v>32.961301447037158</v>
      </c>
      <c r="AN582" s="3">
        <f t="shared" si="42"/>
        <v>32.620134922482087</v>
      </c>
      <c r="AO582" s="3">
        <f t="shared" si="43"/>
        <v>8.7850197943279493</v>
      </c>
    </row>
    <row r="583" spans="1:41" x14ac:dyDescent="0.3">
      <c r="A583" s="2">
        <v>16.209404759692362</v>
      </c>
      <c r="B583" s="2">
        <v>31.09154671807287</v>
      </c>
      <c r="C583" s="2">
        <v>23.87046704063604</v>
      </c>
      <c r="AN583" s="3">
        <f t="shared" si="42"/>
        <v>33.86532123165486</v>
      </c>
      <c r="AO583" s="3">
        <f t="shared" si="43"/>
        <v>37.538670790205067</v>
      </c>
    </row>
    <row r="584" spans="1:41" x14ac:dyDescent="0.3">
      <c r="A584" s="2">
        <v>48.272534389020279</v>
      </c>
      <c r="B584" s="2">
        <v>30.528348044980451</v>
      </c>
      <c r="C584" s="2">
        <v>23.711157700863481</v>
      </c>
      <c r="AN584" s="3">
        <f t="shared" si="42"/>
        <v>27.627566467120847</v>
      </c>
      <c r="AO584" s="3">
        <f t="shared" si="43"/>
        <v>39.516188989947054</v>
      </c>
    </row>
    <row r="585" spans="1:41" x14ac:dyDescent="0.3">
      <c r="A585" s="2">
        <v>0.61835082264693941</v>
      </c>
      <c r="B585" s="2">
        <v>26.44279193969923</v>
      </c>
      <c r="C585" s="2">
        <v>30.831858559683852</v>
      </c>
      <c r="AN585" s="3">
        <f t="shared" si="42"/>
        <v>1.370391098711502</v>
      </c>
      <c r="AO585" s="3">
        <f t="shared" si="43"/>
        <v>0.69640780612303632</v>
      </c>
    </row>
    <row r="586" spans="1:41" x14ac:dyDescent="0.3">
      <c r="A586" s="2">
        <v>1.646388605740003</v>
      </c>
      <c r="B586" s="2">
        <v>21.2400462838362</v>
      </c>
      <c r="C586" s="2">
        <v>32.555297104968361</v>
      </c>
      <c r="AN586" s="3">
        <f t="shared" si="42"/>
        <v>16.25789982366965</v>
      </c>
      <c r="AO586" s="3">
        <f t="shared" si="43"/>
        <v>6.5431034148652039</v>
      </c>
    </row>
    <row r="587" spans="1:41" x14ac:dyDescent="0.3">
      <c r="A587" s="2">
        <v>7.1157552349926956</v>
      </c>
      <c r="B587" s="2">
        <v>19.418342994407269</v>
      </c>
      <c r="C587" s="2">
        <v>35.597751809075064</v>
      </c>
      <c r="AN587" s="3">
        <f t="shared" si="42"/>
        <v>34.267113726069873</v>
      </c>
      <c r="AO587" s="3">
        <f t="shared" si="43"/>
        <v>31.364522367677594</v>
      </c>
    </row>
    <row r="588" spans="1:41" x14ac:dyDescent="0.3">
      <c r="A588" s="2">
        <v>9.5897325794496631</v>
      </c>
      <c r="B588" s="2">
        <v>25.135561460297058</v>
      </c>
      <c r="C588" s="2">
        <v>26.646040182738481</v>
      </c>
      <c r="AN588" s="3">
        <f t="shared" si="42"/>
        <v>1.865776543672009E-2</v>
      </c>
      <c r="AO588" s="3">
        <f t="shared" si="43"/>
        <v>11.231264359523996</v>
      </c>
    </row>
    <row r="589" spans="1:41" x14ac:dyDescent="0.3">
      <c r="A589" s="2">
        <v>4.3763407682644004</v>
      </c>
      <c r="B589" s="2">
        <v>26.961311224286529</v>
      </c>
      <c r="C589" s="2">
        <v>21.812412374091881</v>
      </c>
      <c r="AN589" s="3">
        <f t="shared" si="42"/>
        <v>2.853249116729764</v>
      </c>
      <c r="AO589" s="3">
        <f t="shared" si="43"/>
        <v>66.993171868197351</v>
      </c>
    </row>
    <row r="590" spans="1:41" x14ac:dyDescent="0.3">
      <c r="A590" s="2">
        <v>8.9787429416079583</v>
      </c>
      <c r="B590" s="2">
        <v>25.756160767014379</v>
      </c>
      <c r="C590" s="2">
        <v>27.842051748208661</v>
      </c>
      <c r="AN590" s="3">
        <f t="shared" si="42"/>
        <v>0.23426168757167518</v>
      </c>
      <c r="AO590" s="3">
        <f t="shared" si="43"/>
        <v>4.6453021088702622</v>
      </c>
    </row>
    <row r="591" spans="1:41" x14ac:dyDescent="0.3">
      <c r="A591" s="2">
        <v>7.7207140544145698</v>
      </c>
      <c r="B591" s="2">
        <v>24.05637860127759</v>
      </c>
      <c r="C591" s="2">
        <v>32.980620752973103</v>
      </c>
      <c r="AN591" s="3">
        <f t="shared" si="42"/>
        <v>1.4781119877684112</v>
      </c>
      <c r="AO591" s="3">
        <f t="shared" si="43"/>
        <v>8.8999160751796467</v>
      </c>
    </row>
    <row r="592" spans="1:41" x14ac:dyDescent="0.3">
      <c r="A592" s="2">
        <v>3.8040646315001818</v>
      </c>
      <c r="B592" s="2">
        <v>16.77949678822176</v>
      </c>
      <c r="C592" s="2">
        <v>28.58546312465581</v>
      </c>
      <c r="AN592" s="3">
        <f t="shared" si="42"/>
        <v>72.125241658489117</v>
      </c>
      <c r="AO592" s="3">
        <f t="shared" si="43"/>
        <v>1.9934190164435384</v>
      </c>
    </row>
    <row r="593" spans="1:41" x14ac:dyDescent="0.3">
      <c r="A593" s="2">
        <v>0.257983909034458</v>
      </c>
      <c r="B593" s="2">
        <v>33.165172660684213</v>
      </c>
      <c r="C593" s="2">
        <v>29.89884753760052</v>
      </c>
      <c r="AN593" s="3">
        <f t="shared" si="42"/>
        <v>62.299729505297563</v>
      </c>
      <c r="AO593" s="3">
        <f t="shared" si="43"/>
        <v>9.7023491311124099E-3</v>
      </c>
    </row>
    <row r="594" spans="1:41" x14ac:dyDescent="0.3">
      <c r="A594" s="2">
        <v>17.210933912069908</v>
      </c>
      <c r="B594" s="2">
        <v>38.759518072034894</v>
      </c>
      <c r="C594" s="2">
        <v>37.654476121828381</v>
      </c>
      <c r="AN594" s="3">
        <f t="shared" si="42"/>
        <v>181.90896556474164</v>
      </c>
      <c r="AO594" s="3">
        <f t="shared" si="43"/>
        <v>58.631610449229711</v>
      </c>
    </row>
    <row r="595" spans="1:41" x14ac:dyDescent="0.3">
      <c r="A595" s="2">
        <v>13.16704335800773</v>
      </c>
      <c r="B595" s="2">
        <v>22.063295979363481</v>
      </c>
      <c r="C595" s="2">
        <v>28.006314217904791</v>
      </c>
      <c r="AN595" s="3">
        <f t="shared" si="42"/>
        <v>10.296775517737844</v>
      </c>
      <c r="AO595" s="3">
        <f t="shared" si="43"/>
        <v>3.9642156839240661</v>
      </c>
    </row>
    <row r="596" spans="1:41" x14ac:dyDescent="0.3">
      <c r="A596" s="2">
        <v>0.48135135955093272</v>
      </c>
      <c r="B596" s="2">
        <v>15.164133189289201</v>
      </c>
      <c r="C596" s="2">
        <v>27.900205767529211</v>
      </c>
      <c r="AN596" s="3">
        <f t="shared" si="42"/>
        <v>102.17210273154511</v>
      </c>
      <c r="AO596" s="3">
        <f t="shared" si="43"/>
        <v>4.3980057143513305</v>
      </c>
    </row>
    <row r="597" spans="1:41" x14ac:dyDescent="0.3">
      <c r="A597" s="2">
        <v>1.2765799495734831</v>
      </c>
      <c r="B597" s="2">
        <v>31.087406040662589</v>
      </c>
      <c r="C597" s="2">
        <v>37.53805781754405</v>
      </c>
      <c r="AN597" s="3">
        <f t="shared" si="42"/>
        <v>33.817145928308221</v>
      </c>
      <c r="AO597" s="3">
        <f t="shared" si="43"/>
        <v>56.862303937040302</v>
      </c>
    </row>
    <row r="598" spans="1:41" x14ac:dyDescent="0.3">
      <c r="A598" s="2">
        <v>1.822556169625001</v>
      </c>
      <c r="B598" s="2">
        <v>23.80245531494716</v>
      </c>
      <c r="C598" s="2">
        <v>31.946755455133889</v>
      </c>
      <c r="AN598" s="3">
        <f t="shared" si="42"/>
        <v>2.1600168452004587</v>
      </c>
      <c r="AO598" s="3">
        <f t="shared" si="43"/>
        <v>3.8001892670488226</v>
      </c>
    </row>
    <row r="599" spans="1:41" x14ac:dyDescent="0.3">
      <c r="A599" s="2">
        <v>4.3902340739845407</v>
      </c>
      <c r="B599" s="2">
        <v>28.16076697738642</v>
      </c>
      <c r="C599" s="2">
        <v>25.835372618348359</v>
      </c>
      <c r="AN599" s="3">
        <f t="shared" si="42"/>
        <v>8.3440797829632505</v>
      </c>
      <c r="AO599" s="3">
        <f t="shared" si="43"/>
        <v>17.322039417115253</v>
      </c>
    </row>
    <row r="600" spans="1:41" x14ac:dyDescent="0.3">
      <c r="A600" s="2">
        <v>12.589667982179479</v>
      </c>
      <c r="B600" s="2">
        <v>24.13075227170954</v>
      </c>
      <c r="C600" s="2">
        <v>30.112051567009079</v>
      </c>
      <c r="AN600" s="3">
        <f t="shared" si="42"/>
        <v>1.302799940372001</v>
      </c>
      <c r="AO600" s="3">
        <f t="shared" si="43"/>
        <v>1.3156898924142714E-2</v>
      </c>
    </row>
    <row r="601" spans="1:41" x14ac:dyDescent="0.3">
      <c r="A601" s="2">
        <v>35.802362995708428</v>
      </c>
      <c r="B601" s="2">
        <v>25.64419401723169</v>
      </c>
      <c r="C601" s="2">
        <v>28.57070520987974</v>
      </c>
      <c r="AN601" s="3">
        <f t="shared" si="42"/>
        <v>0.1384131111053592</v>
      </c>
      <c r="AO601" s="3">
        <f t="shared" si="43"/>
        <v>2.0353097670243083</v>
      </c>
    </row>
    <row r="602" spans="1:41" x14ac:dyDescent="0.3">
      <c r="A602" s="2">
        <v>8.2867106042328711</v>
      </c>
      <c r="B602" s="2">
        <v>12.210571981168529</v>
      </c>
      <c r="C602" s="2">
        <v>30.607644768038099</v>
      </c>
      <c r="AN602" s="3">
        <f t="shared" si="42"/>
        <v>170.60494812240432</v>
      </c>
      <c r="AO602" s="3">
        <f t="shared" si="43"/>
        <v>0.37246209527405466</v>
      </c>
    </row>
    <row r="603" spans="1:41" x14ac:dyDescent="0.3">
      <c r="A603" s="2">
        <v>6.1418393927606534</v>
      </c>
      <c r="B603" s="2">
        <v>15.227977384127589</v>
      </c>
      <c r="C603" s="2">
        <v>27.21548581064334</v>
      </c>
      <c r="AN603" s="3">
        <f t="shared" si="42"/>
        <v>100.88550179879164</v>
      </c>
      <c r="AO603" s="3">
        <f t="shared" si="43"/>
        <v>7.7387574675880497</v>
      </c>
    </row>
    <row r="604" spans="1:41" x14ac:dyDescent="0.3">
      <c r="A604" s="2">
        <v>9.1066043816358029</v>
      </c>
      <c r="B604" s="2">
        <v>23.078367366557561</v>
      </c>
      <c r="C604" s="2">
        <v>27.22115117608751</v>
      </c>
      <c r="AN604" s="3">
        <f t="shared" si="42"/>
        <v>4.8127037044152363</v>
      </c>
      <c r="AO604" s="3">
        <f t="shared" si="43"/>
        <v>7.7072690316552928</v>
      </c>
    </row>
    <row r="605" spans="1:41" x14ac:dyDescent="0.3">
      <c r="A605" s="2">
        <v>9.6094142423874711</v>
      </c>
      <c r="B605" s="2">
        <v>25.866823151377758</v>
      </c>
      <c r="C605" s="2">
        <v>30.272468152644759</v>
      </c>
      <c r="AN605" s="3">
        <f t="shared" si="42"/>
        <v>0.35363033935424687</v>
      </c>
      <c r="AO605" s="3">
        <f t="shared" si="43"/>
        <v>7.5691075939903721E-2</v>
      </c>
    </row>
    <row r="606" spans="1:41" x14ac:dyDescent="0.3">
      <c r="A606" s="2">
        <v>13.715430919179999</v>
      </c>
      <c r="B606" s="2">
        <v>31.000443684742631</v>
      </c>
      <c r="C606" s="2">
        <v>28.97904255555266</v>
      </c>
      <c r="AN606" s="3">
        <f t="shared" si="42"/>
        <v>32.813292499253471</v>
      </c>
      <c r="AO606" s="3">
        <f t="shared" si="43"/>
        <v>1.0369460612906287</v>
      </c>
    </row>
    <row r="607" spans="1:41" x14ac:dyDescent="0.3">
      <c r="A607" s="2">
        <v>2.2292707210832599</v>
      </c>
      <c r="B607" s="2">
        <v>32.521422416050576</v>
      </c>
      <c r="C607" s="2">
        <v>27.027041966363601</v>
      </c>
      <c r="AN607" s="3">
        <f t="shared" si="42"/>
        <v>52.55187964309129</v>
      </c>
      <c r="AO607" s="3">
        <f t="shared" si="43"/>
        <v>8.8227181758507083</v>
      </c>
    </row>
    <row r="608" spans="1:41" x14ac:dyDescent="0.3">
      <c r="A608" s="2">
        <v>15.397038065586051</v>
      </c>
      <c r="B608" s="2">
        <v>30.37349348376587</v>
      </c>
      <c r="C608" s="2">
        <v>28.954577549532161</v>
      </c>
      <c r="AN608" s="3">
        <f t="shared" si="42"/>
        <v>26.023655433354659</v>
      </c>
      <c r="AO608" s="3">
        <f t="shared" si="43"/>
        <v>1.0873702974649178</v>
      </c>
    </row>
    <row r="609" spans="1:41" x14ac:dyDescent="0.3">
      <c r="A609" s="2">
        <v>25.63111170623046</v>
      </c>
      <c r="B609" s="2">
        <v>23.131687584089299</v>
      </c>
      <c r="C609" s="2">
        <v>29.098438238148521</v>
      </c>
      <c r="AN609" s="3">
        <f t="shared" si="42"/>
        <v>4.5816002939205038</v>
      </c>
      <c r="AO609" s="3">
        <f t="shared" si="43"/>
        <v>0.80803883330804704</v>
      </c>
    </row>
    <row r="610" spans="1:41" x14ac:dyDescent="0.3">
      <c r="A610" s="2">
        <v>1.256937935605881</v>
      </c>
      <c r="B610" s="2">
        <v>30.08563604843452</v>
      </c>
      <c r="C610" s="2">
        <v>37.136648666966288</v>
      </c>
      <c r="AN610" s="3">
        <f t="shared" si="42"/>
        <v>23.169600848553877</v>
      </c>
      <c r="AO610" s="3">
        <f t="shared" si="43"/>
        <v>50.969613430737631</v>
      </c>
    </row>
    <row r="611" spans="1:41" x14ac:dyDescent="0.3">
      <c r="A611" s="2">
        <v>3.5702487743749529</v>
      </c>
      <c r="B611" s="2">
        <v>25.915737310694229</v>
      </c>
      <c r="C611" s="2">
        <v>27.228685957022471</v>
      </c>
      <c r="AN611" s="3">
        <f t="shared" si="42"/>
        <v>0.41419833034806769</v>
      </c>
      <c r="AO611" s="3">
        <f t="shared" si="43"/>
        <v>7.6654897341631205</v>
      </c>
    </row>
    <row r="612" spans="1:41" x14ac:dyDescent="0.3">
      <c r="A612" s="2">
        <v>29.369816968975329</v>
      </c>
      <c r="B612" s="2">
        <v>24.237852137206549</v>
      </c>
      <c r="C612" s="2">
        <v>25.850759632608899</v>
      </c>
      <c r="AN612" s="3">
        <f t="shared" si="42"/>
        <v>1.0697821874551761</v>
      </c>
      <c r="AO612" s="3">
        <f t="shared" si="43"/>
        <v>17.194195426968459</v>
      </c>
    </row>
    <row r="613" spans="1:41" x14ac:dyDescent="0.3">
      <c r="A613" s="2">
        <v>7.467055138701852</v>
      </c>
      <c r="B613" s="2">
        <v>21.07216379782566</v>
      </c>
      <c r="C613" s="2">
        <v>23.77889132855309</v>
      </c>
      <c r="AN613" s="3">
        <f t="shared" si="42"/>
        <v>17.639925186603318</v>
      </c>
      <c r="AO613" s="3">
        <f t="shared" si="43"/>
        <v>38.669203882124108</v>
      </c>
    </row>
    <row r="614" spans="1:41" x14ac:dyDescent="0.3">
      <c r="A614" s="2">
        <v>1.0731764969107529</v>
      </c>
      <c r="B614" s="2">
        <v>27.074648622020302</v>
      </c>
      <c r="C614" s="2">
        <v>24.382864694190982</v>
      </c>
      <c r="AN614" s="3">
        <f t="shared" si="42"/>
        <v>3.2489836487111097</v>
      </c>
      <c r="AO614" s="3">
        <f t="shared" si="43"/>
        <v>31.522423249382022</v>
      </c>
    </row>
    <row r="615" spans="1:41" x14ac:dyDescent="0.3">
      <c r="A615" s="2">
        <v>2.6193045862932718</v>
      </c>
      <c r="B615" s="2">
        <v>21.28699541028185</v>
      </c>
      <c r="C615" s="2">
        <v>35.849683904275849</v>
      </c>
      <c r="AN615" s="3">
        <f t="shared" si="42"/>
        <v>15.881496090419862</v>
      </c>
      <c r="AO615" s="3">
        <f t="shared" si="43"/>
        <v>34.249835058892245</v>
      </c>
    </row>
    <row r="616" spans="1:41" x14ac:dyDescent="0.3">
      <c r="A616" s="2">
        <v>15.0039179625284</v>
      </c>
      <c r="B616" s="2">
        <v>27.166345860995541</v>
      </c>
      <c r="C616" s="2">
        <v>28.949716367443511</v>
      </c>
      <c r="AN616" s="3">
        <f t="shared" si="42"/>
        <v>3.5879594290720074</v>
      </c>
      <c r="AO616" s="3">
        <f t="shared" si="43"/>
        <v>1.0975321230256923</v>
      </c>
    </row>
    <row r="617" spans="1:41" x14ac:dyDescent="0.3">
      <c r="A617" s="2">
        <v>47.005843087056157</v>
      </c>
      <c r="B617" s="2">
        <v>20.53398883045298</v>
      </c>
      <c r="C617" s="2">
        <v>35.308939882088659</v>
      </c>
      <c r="AN617" s="3">
        <f t="shared" si="42"/>
        <v>22.45021762167374</v>
      </c>
      <c r="AO617" s="3">
        <f t="shared" si="43"/>
        <v>28.213007888413951</v>
      </c>
    </row>
    <row r="618" spans="1:41" x14ac:dyDescent="0.3">
      <c r="A618" s="2">
        <v>8.0326663861693106</v>
      </c>
      <c r="B618" s="2">
        <v>21.745754364604991</v>
      </c>
      <c r="C618" s="2">
        <v>23.017532468742122</v>
      </c>
      <c r="AN618" s="3">
        <f t="shared" si="42"/>
        <v>12.435500675799535</v>
      </c>
      <c r="AO618" s="3">
        <f t="shared" si="43"/>
        <v>48.717825419981452</v>
      </c>
    </row>
    <row r="619" spans="1:41" x14ac:dyDescent="0.3">
      <c r="A619" s="2">
        <v>11.47747200220507</v>
      </c>
      <c r="B619" s="2">
        <v>29.099993907791479</v>
      </c>
      <c r="C619" s="2">
        <v>24.68395557847531</v>
      </c>
      <c r="AN619" s="3">
        <f t="shared" si="42"/>
        <v>14.652351534953613</v>
      </c>
      <c r="AO619" s="3">
        <f t="shared" si="43"/>
        <v>28.232139458719139</v>
      </c>
    </row>
    <row r="620" spans="1:41" x14ac:dyDescent="0.3">
      <c r="A620" s="2">
        <v>0.55369311156625622</v>
      </c>
      <c r="B620" s="2">
        <v>27.875132919727129</v>
      </c>
      <c r="C620" s="2">
        <v>35.636752884211639</v>
      </c>
      <c r="AN620" s="3">
        <f t="shared" si="42"/>
        <v>6.7754946156441971</v>
      </c>
      <c r="AO620" s="3">
        <f t="shared" si="43"/>
        <v>31.802886987862486</v>
      </c>
    </row>
    <row r="621" spans="1:41" x14ac:dyDescent="0.3">
      <c r="A621" s="2">
        <v>8.2504967616605125</v>
      </c>
      <c r="B621" s="2">
        <v>19.090499183115298</v>
      </c>
      <c r="C621" s="2">
        <v>33.600234476520853</v>
      </c>
      <c r="AN621" s="3">
        <f t="shared" si="42"/>
        <v>38.212867296504065</v>
      </c>
      <c r="AO621" s="3">
        <f t="shared" si="43"/>
        <v>12.980790668680768</v>
      </c>
    </row>
    <row r="622" spans="1:41" x14ac:dyDescent="0.3">
      <c r="A622" s="2">
        <v>4.0261820483575228</v>
      </c>
      <c r="B622" s="2">
        <v>37.525208130864371</v>
      </c>
      <c r="C622" s="2">
        <v>18.613738794064432</v>
      </c>
      <c r="AN622" s="3">
        <f t="shared" si="42"/>
        <v>150.13731368769098</v>
      </c>
      <c r="AO622" s="3">
        <f t="shared" si="43"/>
        <v>129.58655948242844</v>
      </c>
    </row>
    <row r="623" spans="1:41" x14ac:dyDescent="0.3">
      <c r="A623" s="2">
        <v>33.562869133534143</v>
      </c>
      <c r="B623" s="2">
        <v>15.97894442394607</v>
      </c>
      <c r="C623" s="2">
        <v>29.818390373578431</v>
      </c>
      <c r="AN623" s="3">
        <f t="shared" si="42"/>
        <v>86.363760793500603</v>
      </c>
      <c r="AO623" s="3">
        <f t="shared" si="43"/>
        <v>3.2025846658406319E-2</v>
      </c>
    </row>
    <row r="624" spans="1:41" x14ac:dyDescent="0.3">
      <c r="A624" s="2">
        <v>0.95852240471985595</v>
      </c>
      <c r="B624" s="2">
        <v>33.108433215257762</v>
      </c>
      <c r="C624" s="2">
        <v>26.833537003865391</v>
      </c>
      <c r="AN624" s="3">
        <f t="shared" si="42"/>
        <v>61.40725796803099</v>
      </c>
      <c r="AO624" s="3">
        <f t="shared" si="43"/>
        <v>10.009700277447287</v>
      </c>
    </row>
    <row r="625" spans="1:41" x14ac:dyDescent="0.3">
      <c r="A625" s="2">
        <v>1.485326172966523</v>
      </c>
      <c r="B625" s="2">
        <v>24.213386364015189</v>
      </c>
      <c r="C625" s="2">
        <v>27.304773749081509</v>
      </c>
      <c r="AN625" s="3">
        <f t="shared" si="42"/>
        <v>1.1209907947065272</v>
      </c>
      <c r="AO625" s="3">
        <f t="shared" si="43"/>
        <v>7.2499563164386904</v>
      </c>
    </row>
    <row r="626" spans="1:41" x14ac:dyDescent="0.3">
      <c r="A626" s="2">
        <v>1.73754052926132</v>
      </c>
      <c r="B626" s="2">
        <v>30.806739966215279</v>
      </c>
      <c r="C626" s="2">
        <v>41.089388626923622</v>
      </c>
      <c r="AN626" s="3">
        <f t="shared" si="42"/>
        <v>30.631631949709778</v>
      </c>
      <c r="AO626" s="3">
        <f t="shared" si="43"/>
        <v>123.0333643641504</v>
      </c>
    </row>
    <row r="627" spans="1:41" x14ac:dyDescent="0.3">
      <c r="A627" s="2">
        <v>6.7140316413747829</v>
      </c>
      <c r="B627" s="2">
        <v>29.476618218174892</v>
      </c>
      <c r="C627" s="2">
        <v>34.040965474605827</v>
      </c>
      <c r="AN627" s="3">
        <f t="shared" si="42"/>
        <v>17.677511865694925</v>
      </c>
      <c r="AO627" s="3">
        <f t="shared" si="43"/>
        <v>16.350841950955356</v>
      </c>
    </row>
    <row r="628" spans="1:41" x14ac:dyDescent="0.3">
      <c r="A628" s="2">
        <v>7.3721435793230929</v>
      </c>
      <c r="B628" s="2">
        <v>17.962666103938972</v>
      </c>
      <c r="C628" s="2">
        <v>27.699419945887481</v>
      </c>
      <c r="AN628" s="3">
        <f t="shared" si="42"/>
        <v>53.428626334887859</v>
      </c>
      <c r="AO628" s="3">
        <f t="shared" si="43"/>
        <v>5.2804735294013838</v>
      </c>
    </row>
    <row r="629" spans="1:41" x14ac:dyDescent="0.3">
      <c r="A629" s="2">
        <v>17.86292540012176</v>
      </c>
      <c r="B629" s="2">
        <v>28.095226356366151</v>
      </c>
      <c r="C629" s="2">
        <v>27.089483622755619</v>
      </c>
      <c r="AN629" s="3">
        <f t="shared" si="42"/>
        <v>7.969732495970363</v>
      </c>
      <c r="AO629" s="3">
        <f t="shared" si="43"/>
        <v>8.4556754737451687</v>
      </c>
    </row>
    <row r="630" spans="1:41" x14ac:dyDescent="0.3">
      <c r="A630" s="2">
        <v>18.429751051294041</v>
      </c>
      <c r="B630" s="2">
        <v>24.009540656803431</v>
      </c>
      <c r="C630" s="2">
        <v>29.80666026822999</v>
      </c>
      <c r="AN630" s="3">
        <f t="shared" si="42"/>
        <v>1.5941947055560521</v>
      </c>
      <c r="AO630" s="3">
        <f t="shared" si="43"/>
        <v>3.6361826608799268E-2</v>
      </c>
    </row>
    <row r="631" spans="1:41" x14ac:dyDescent="0.3">
      <c r="A631" s="2">
        <v>8.890351449880761</v>
      </c>
      <c r="B631" s="2">
        <v>14.62204890355747</v>
      </c>
      <c r="C631" s="2">
        <v>22.697189695417698</v>
      </c>
      <c r="AN631" s="3">
        <f t="shared" si="42"/>
        <v>113.424757553546</v>
      </c>
      <c r="AO631" s="3">
        <f t="shared" si="43"/>
        <v>53.292311867696498</v>
      </c>
    </row>
    <row r="632" spans="1:41" x14ac:dyDescent="0.3">
      <c r="A632" s="2">
        <v>1.63954546458031</v>
      </c>
      <c r="B632" s="2">
        <v>13.34610771989459</v>
      </c>
      <c r="C632" s="2">
        <v>26.04147577041509</v>
      </c>
      <c r="AN632" s="3">
        <f t="shared" si="42"/>
        <v>142.23060113839063</v>
      </c>
      <c r="AO632" s="3">
        <f t="shared" si="43"/>
        <v>15.648925419622822</v>
      </c>
    </row>
    <row r="633" spans="1:41" x14ac:dyDescent="0.3">
      <c r="A633" s="2">
        <v>2.1678677658148091</v>
      </c>
      <c r="B633" s="2">
        <v>31.269617591183199</v>
      </c>
      <c r="C633" s="2">
        <v>28.81205145578998</v>
      </c>
      <c r="AN633" s="3">
        <f t="shared" si="42"/>
        <v>35.969558834577455</v>
      </c>
      <c r="AO633" s="3">
        <f t="shared" si="43"/>
        <v>1.4049279944431745</v>
      </c>
    </row>
    <row r="634" spans="1:41" x14ac:dyDescent="0.3">
      <c r="A634" s="2">
        <v>0.1671823219258361</v>
      </c>
      <c r="B634" s="2">
        <v>18.545111912283161</v>
      </c>
      <c r="C634" s="2">
        <v>29.69201663102919</v>
      </c>
      <c r="AN634" s="3">
        <f t="shared" si="42"/>
        <v>45.253107243685243</v>
      </c>
      <c r="AO634" s="3">
        <f t="shared" si="43"/>
        <v>9.3227269794371306E-2</v>
      </c>
    </row>
    <row r="635" spans="1:41" x14ac:dyDescent="0.3">
      <c r="A635" s="2">
        <v>8.0019319859328135</v>
      </c>
      <c r="B635" s="2">
        <v>18.572960352574299</v>
      </c>
      <c r="C635" s="2">
        <v>27.199863589601861</v>
      </c>
      <c r="AN635" s="3">
        <f t="shared" si="42"/>
        <v>44.879207469828884</v>
      </c>
      <c r="AO635" s="3">
        <f t="shared" si="43"/>
        <v>7.8259192547113052</v>
      </c>
    </row>
    <row r="636" spans="1:41" x14ac:dyDescent="0.3">
      <c r="A636" s="2">
        <v>5.4179856760932434</v>
      </c>
      <c r="B636" s="2">
        <v>36.554249953610586</v>
      </c>
      <c r="C636" s="2">
        <v>29.46793207303358</v>
      </c>
      <c r="AN636" s="3">
        <f t="shared" si="42"/>
        <v>127.28566899141464</v>
      </c>
      <c r="AO636" s="3">
        <f t="shared" si="43"/>
        <v>0.28028126692907396</v>
      </c>
    </row>
    <row r="637" spans="1:41" x14ac:dyDescent="0.3">
      <c r="A637" s="2">
        <v>18.932914201022111</v>
      </c>
      <c r="B637" s="2">
        <v>21.25119260439773</v>
      </c>
      <c r="C637" s="2">
        <v>33.031497213256181</v>
      </c>
      <c r="AN637" s="3">
        <f t="shared" si="42"/>
        <v>16.168137713972769</v>
      </c>
      <c r="AO637" s="3">
        <f t="shared" si="43"/>
        <v>9.2060612006992226</v>
      </c>
    </row>
    <row r="638" spans="1:41" x14ac:dyDescent="0.3">
      <c r="A638" s="2">
        <v>34.443524911094357</v>
      </c>
      <c r="B638" s="2">
        <v>21.070433074825601</v>
      </c>
      <c r="C638" s="2">
        <v>31.065377697525381</v>
      </c>
      <c r="AN638" s="3">
        <f t="shared" si="42"/>
        <v>17.654466224377007</v>
      </c>
      <c r="AO638" s="3">
        <f t="shared" si="43"/>
        <v>1.1406873476388448</v>
      </c>
    </row>
    <row r="639" spans="1:41" x14ac:dyDescent="0.3">
      <c r="A639" s="2">
        <v>2.8494247446948719</v>
      </c>
      <c r="B639" s="2">
        <v>26.66526109908812</v>
      </c>
      <c r="C639" s="2">
        <v>33.305489443485193</v>
      </c>
      <c r="AN639" s="3">
        <f t="shared" si="42"/>
        <v>1.9407449057334836</v>
      </c>
      <c r="AO639" s="3">
        <f t="shared" si="43"/>
        <v>10.943799540141091</v>
      </c>
    </row>
    <row r="640" spans="1:41" x14ac:dyDescent="0.3">
      <c r="A640" s="2">
        <v>12.747864115657309</v>
      </c>
      <c r="B640" s="2">
        <v>19.32806620195031</v>
      </c>
      <c r="C640" s="2">
        <v>32.900556469578653</v>
      </c>
      <c r="AN640" s="3">
        <f t="shared" si="42"/>
        <v>35.3321903487507</v>
      </c>
      <c r="AO640" s="3">
        <f t="shared" si="43"/>
        <v>8.4286191809148594</v>
      </c>
    </row>
    <row r="641" spans="1:41" x14ac:dyDescent="0.3">
      <c r="A641" s="2">
        <v>9.6736888869322133</v>
      </c>
      <c r="B641" s="2">
        <v>23.080773287091301</v>
      </c>
      <c r="C641" s="2">
        <v>31.30101515004602</v>
      </c>
      <c r="AN641" s="3">
        <f t="shared" si="42"/>
        <v>4.8021533359632045</v>
      </c>
      <c r="AO641" s="3">
        <f t="shared" si="43"/>
        <v>1.6995479317224387</v>
      </c>
    </row>
    <row r="642" spans="1:41" x14ac:dyDescent="0.3">
      <c r="A642" s="2">
        <v>12.18463798321898</v>
      </c>
      <c r="B642" s="2">
        <v>25.7819271926498</v>
      </c>
      <c r="C642" s="2">
        <v>25.669372583196161</v>
      </c>
      <c r="AN642" s="3">
        <f t="shared" si="42"/>
        <v>0.25986779906088581</v>
      </c>
      <c r="AO642" s="3">
        <f t="shared" si="43"/>
        <v>18.731371561645844</v>
      </c>
    </row>
    <row r="643" spans="1:41" x14ac:dyDescent="0.3">
      <c r="A643" s="2">
        <v>7.5139370246814563</v>
      </c>
      <c r="B643" s="2">
        <v>27.39581703739217</v>
      </c>
      <c r="C643" s="2">
        <v>26.44103271463754</v>
      </c>
      <c r="AN643" s="3">
        <f t="shared" ref="AN643:AN706" si="44">(B643-$AK$2)^2</f>
        <v>4.5099409100674883</v>
      </c>
      <c r="AO643" s="3">
        <f t="shared" ref="AO643:AO706" si="45">(C643-$AK$3)^2</f>
        <v>12.647378699118285</v>
      </c>
    </row>
    <row r="644" spans="1:41" x14ac:dyDescent="0.3">
      <c r="A644" s="2">
        <v>5.5109750148776291</v>
      </c>
      <c r="B644" s="2">
        <v>21.987880664732831</v>
      </c>
      <c r="C644" s="2">
        <v>29.09911511682877</v>
      </c>
      <c r="AN644" s="3">
        <f t="shared" si="44"/>
        <v>10.786457196340852</v>
      </c>
      <c r="AO644" s="3">
        <f t="shared" si="45"/>
        <v>0.80682238571102782</v>
      </c>
    </row>
    <row r="645" spans="1:41" x14ac:dyDescent="0.3">
      <c r="A645" s="2">
        <v>12.415465676968561</v>
      </c>
      <c r="B645" s="2">
        <v>32.228199766829299</v>
      </c>
      <c r="C645" s="2">
        <v>24.696646276586868</v>
      </c>
      <c r="AN645" s="3">
        <f t="shared" si="44"/>
        <v>48.386560308158877</v>
      </c>
      <c r="AO645" s="3">
        <f t="shared" si="45"/>
        <v>28.097439193162437</v>
      </c>
    </row>
    <row r="646" spans="1:41" x14ac:dyDescent="0.3">
      <c r="A646" s="2">
        <v>2.2719066068381188</v>
      </c>
      <c r="B646" s="2">
        <v>24.5765143615595</v>
      </c>
      <c r="C646" s="2">
        <v>30.201070763539811</v>
      </c>
      <c r="AN646" s="3">
        <f t="shared" si="44"/>
        <v>0.48391574683950883</v>
      </c>
      <c r="AO646" s="3">
        <f t="shared" si="45"/>
        <v>4.1502947759359921E-2</v>
      </c>
    </row>
    <row r="647" spans="1:41" x14ac:dyDescent="0.3">
      <c r="A647" s="2">
        <v>37.582933115529421</v>
      </c>
      <c r="B647" s="2">
        <v>20.272557677605931</v>
      </c>
      <c r="C647" s="2">
        <v>31.47939774765835</v>
      </c>
      <c r="AN647" s="3">
        <f t="shared" si="44"/>
        <v>24.995972300772053</v>
      </c>
      <c r="AO647" s="3">
        <f t="shared" si="45"/>
        <v>2.1964713335904693</v>
      </c>
    </row>
    <row r="648" spans="1:41" x14ac:dyDescent="0.3">
      <c r="A648" s="2">
        <v>1.1135039198267009</v>
      </c>
      <c r="B648" s="2">
        <v>21.13796763428283</v>
      </c>
      <c r="C648" s="2">
        <v>28.400274036017439</v>
      </c>
      <c r="AN648" s="3">
        <f t="shared" si="44"/>
        <v>17.091504277401693</v>
      </c>
      <c r="AO648" s="3">
        <f t="shared" si="45"/>
        <v>2.5506453767613149</v>
      </c>
    </row>
    <row r="649" spans="1:41" x14ac:dyDescent="0.3">
      <c r="A649" s="2">
        <v>2.921531437325398</v>
      </c>
      <c r="B649" s="2">
        <v>29.949355073327531</v>
      </c>
      <c r="C649" s="2">
        <v>40.392512425689517</v>
      </c>
      <c r="AN649" s="3">
        <f t="shared" si="44"/>
        <v>21.876201541266639</v>
      </c>
      <c r="AO649" s="3">
        <f t="shared" si="45"/>
        <v>108.05944258881618</v>
      </c>
    </row>
    <row r="650" spans="1:41" x14ac:dyDescent="0.3">
      <c r="A650" s="2">
        <v>7.4116084882492679</v>
      </c>
      <c r="B650" s="2">
        <v>19.339368369791639</v>
      </c>
      <c r="C650" s="2">
        <v>22.216580262429151</v>
      </c>
      <c r="AN650" s="3">
        <f t="shared" si="44"/>
        <v>35.197955911683458</v>
      </c>
      <c r="AO650" s="3">
        <f t="shared" si="45"/>
        <v>60.540347220978411</v>
      </c>
    </row>
    <row r="651" spans="1:41" x14ac:dyDescent="0.3">
      <c r="A651" s="2">
        <v>2.9014638653837861</v>
      </c>
      <c r="B651" s="2">
        <v>19.98526449700304</v>
      </c>
      <c r="C651" s="2">
        <v>30.533451422387529</v>
      </c>
      <c r="AN651" s="3">
        <f t="shared" si="44"/>
        <v>27.951210042995644</v>
      </c>
      <c r="AO651" s="3">
        <f t="shared" si="45"/>
        <v>0.28740683574652626</v>
      </c>
    </row>
    <row r="652" spans="1:41" x14ac:dyDescent="0.3">
      <c r="A652" s="2">
        <v>31.335507247173609</v>
      </c>
      <c r="B652" s="2">
        <v>21.35508273448389</v>
      </c>
      <c r="C652" s="2">
        <v>29.507216248510829</v>
      </c>
      <c r="AN652" s="3">
        <f t="shared" si="44"/>
        <v>15.34345428295331</v>
      </c>
      <c r="AO652" s="3">
        <f t="shared" si="45"/>
        <v>0.24022917381538988</v>
      </c>
    </row>
    <row r="653" spans="1:41" x14ac:dyDescent="0.3">
      <c r="A653" s="2">
        <v>0.61918354336229564</v>
      </c>
      <c r="B653" s="2">
        <v>19.826204690523269</v>
      </c>
      <c r="C653" s="2">
        <v>27.775970618958841</v>
      </c>
      <c r="AN653" s="3">
        <f t="shared" si="44"/>
        <v>29.658373591077027</v>
      </c>
      <c r="AO653" s="3">
        <f t="shared" si="45"/>
        <v>4.9345176502783445</v>
      </c>
    </row>
    <row r="654" spans="1:41" x14ac:dyDescent="0.3">
      <c r="A654" s="2">
        <v>8.2491902077547881</v>
      </c>
      <c r="B654" s="2">
        <v>24.13368144944803</v>
      </c>
      <c r="C654" s="2">
        <v>28.62302979164004</v>
      </c>
      <c r="AN654" s="3">
        <f t="shared" si="44"/>
        <v>1.296121778165372</v>
      </c>
      <c r="AO654" s="3">
        <f t="shared" si="45"/>
        <v>1.8887506499819366</v>
      </c>
    </row>
    <row r="655" spans="1:41" x14ac:dyDescent="0.3">
      <c r="A655" s="2">
        <v>3.6007982038498731</v>
      </c>
      <c r="B655" s="2">
        <v>10.375285350285431</v>
      </c>
      <c r="C655" s="2">
        <v>39.079923472977733</v>
      </c>
      <c r="AN655" s="3">
        <f t="shared" si="44"/>
        <v>221.9167221267588</v>
      </c>
      <c r="AO655" s="3">
        <f t="shared" si="45"/>
        <v>82.493176481146733</v>
      </c>
    </row>
    <row r="656" spans="1:41" x14ac:dyDescent="0.3">
      <c r="A656" s="2">
        <v>24.166167805496919</v>
      </c>
      <c r="B656" s="2">
        <v>29.285045387088871</v>
      </c>
      <c r="C656" s="2">
        <v>28.63785300772733</v>
      </c>
      <c r="AN656" s="3">
        <f t="shared" si="44"/>
        <v>16.103290129912796</v>
      </c>
      <c r="AO656" s="3">
        <f t="shared" si="45"/>
        <v>1.848226744957014</v>
      </c>
    </row>
    <row r="657" spans="1:41" x14ac:dyDescent="0.3">
      <c r="A657" s="2">
        <v>10.16681830120597</v>
      </c>
      <c r="B657" s="2">
        <v>14.556220365358589</v>
      </c>
      <c r="C657" s="2">
        <v>15.21983677207953</v>
      </c>
      <c r="AN657" s="3">
        <f t="shared" si="44"/>
        <v>114.83125276768088</v>
      </c>
      <c r="AO657" s="3">
        <f t="shared" si="45"/>
        <v>218.37483929724476</v>
      </c>
    </row>
    <row r="658" spans="1:41" x14ac:dyDescent="0.3">
      <c r="A658" s="2">
        <v>18.663585109980609</v>
      </c>
      <c r="B658" s="2">
        <v>25.97890329091129</v>
      </c>
      <c r="C658" s="2">
        <v>38.252286186475921</v>
      </c>
      <c r="AN658" s="3">
        <f t="shared" si="44"/>
        <v>0.49949330012771215</v>
      </c>
      <c r="AO658" s="3">
        <f t="shared" si="45"/>
        <v>68.144003788888327</v>
      </c>
    </row>
    <row r="659" spans="1:41" x14ac:dyDescent="0.3">
      <c r="A659" s="2">
        <v>34.344141783922922</v>
      </c>
      <c r="B659" s="2">
        <v>30.968406674628799</v>
      </c>
      <c r="C659" s="2">
        <v>33.078483639453481</v>
      </c>
      <c r="AN659" s="3">
        <f t="shared" si="44"/>
        <v>32.447284377259777</v>
      </c>
      <c r="AO659" s="3">
        <f t="shared" si="45"/>
        <v>9.493396577272172</v>
      </c>
    </row>
    <row r="660" spans="1:41" x14ac:dyDescent="0.3">
      <c r="A660" s="2">
        <v>1.4719245866563591</v>
      </c>
      <c r="B660" s="2">
        <v>23.703507883659061</v>
      </c>
      <c r="C660" s="2">
        <v>26.151821449806061</v>
      </c>
      <c r="AN660" s="3">
        <f t="shared" si="44"/>
        <v>2.4606534350811726</v>
      </c>
      <c r="AO660" s="3">
        <f t="shared" si="45"/>
        <v>14.788074762063397</v>
      </c>
    </row>
    <row r="661" spans="1:41" x14ac:dyDescent="0.3">
      <c r="A661" s="2">
        <v>0.89510006021973787</v>
      </c>
      <c r="B661" s="2">
        <v>29.84663882558295</v>
      </c>
      <c r="C661" s="2">
        <v>23.719219540429879</v>
      </c>
      <c r="AN661" s="3">
        <f t="shared" si="44"/>
        <v>20.925903263553845</v>
      </c>
      <c r="AO661" s="3">
        <f t="shared" si="45"/>
        <v>39.414897467195381</v>
      </c>
    </row>
    <row r="662" spans="1:41" x14ac:dyDescent="0.3">
      <c r="A662" s="2">
        <v>0.205969022112477</v>
      </c>
      <c r="B662" s="2">
        <v>20.070380339626659</v>
      </c>
      <c r="C662" s="2">
        <v>25.039201441747242</v>
      </c>
      <c r="AN662" s="3">
        <f t="shared" si="44"/>
        <v>27.058458488095422</v>
      </c>
      <c r="AO662" s="3">
        <f t="shared" si="45"/>
        <v>24.58321769772671</v>
      </c>
    </row>
    <row r="663" spans="1:41" x14ac:dyDescent="0.3">
      <c r="A663" s="2">
        <v>3.0861059109822451</v>
      </c>
      <c r="B663" s="2">
        <v>25.437694698161799</v>
      </c>
      <c r="C663" s="2">
        <v>30.543853512898099</v>
      </c>
      <c r="AN663" s="3">
        <f t="shared" si="44"/>
        <v>2.7403427603044976E-2</v>
      </c>
      <c r="AO663" s="3">
        <f t="shared" si="45"/>
        <v>0.29866823103004991</v>
      </c>
    </row>
    <row r="664" spans="1:41" x14ac:dyDescent="0.3">
      <c r="A664" s="2">
        <v>20.429535853900521</v>
      </c>
      <c r="B664" s="2">
        <v>22.906857317309029</v>
      </c>
      <c r="C664" s="2">
        <v>27.4273291606718</v>
      </c>
      <c r="AN664" s="3">
        <f t="shared" si="44"/>
        <v>5.5946326142819522</v>
      </c>
      <c r="AO664" s="3">
        <f t="shared" si="45"/>
        <v>6.604997044230065</v>
      </c>
    </row>
    <row r="665" spans="1:41" x14ac:dyDescent="0.3">
      <c r="A665" s="2">
        <v>1.7651969053599319</v>
      </c>
      <c r="B665" s="2">
        <v>26.095187931422881</v>
      </c>
      <c r="C665" s="2">
        <v>37.76272426859326</v>
      </c>
      <c r="AN665" s="3">
        <f t="shared" si="44"/>
        <v>0.67738338487141647</v>
      </c>
      <c r="AO665" s="3">
        <f t="shared" si="45"/>
        <v>60.301067959132396</v>
      </c>
    </row>
    <row r="666" spans="1:41" x14ac:dyDescent="0.3">
      <c r="A666" s="2">
        <v>2.0105473082189822</v>
      </c>
      <c r="B666" s="2">
        <v>30.454152545380701</v>
      </c>
      <c r="C666" s="2">
        <v>37.225664368731238</v>
      </c>
      <c r="AN666" s="3">
        <f t="shared" si="44"/>
        <v>26.853099685245159</v>
      </c>
      <c r="AO666" s="3">
        <f t="shared" si="45"/>
        <v>52.24855693659611</v>
      </c>
    </row>
    <row r="667" spans="1:41" x14ac:dyDescent="0.3">
      <c r="A667" s="2">
        <v>2.1478488285669668</v>
      </c>
      <c r="B667" s="2">
        <v>27.733353539893219</v>
      </c>
      <c r="C667" s="2">
        <v>45.646228689766119</v>
      </c>
      <c r="AN667" s="3">
        <f t="shared" si="44"/>
        <v>6.0574987870521211</v>
      </c>
      <c r="AO667" s="3">
        <f t="shared" si="45"/>
        <v>244.887465565497</v>
      </c>
    </row>
    <row r="668" spans="1:41" x14ac:dyDescent="0.3">
      <c r="A668" s="2">
        <v>7.2372981552242406</v>
      </c>
      <c r="B668" s="2">
        <v>25.622968937728849</v>
      </c>
      <c r="C668" s="2">
        <v>29.375125705557078</v>
      </c>
      <c r="AN668" s="3">
        <f t="shared" si="44"/>
        <v>0.12307049505989535</v>
      </c>
      <c r="AO668" s="3">
        <f t="shared" si="45"/>
        <v>0.38716063447870336</v>
      </c>
    </row>
    <row r="669" spans="1:41" x14ac:dyDescent="0.3">
      <c r="A669" s="2">
        <v>14.431097999107459</v>
      </c>
      <c r="B669" s="2">
        <v>37.968225502196063</v>
      </c>
      <c r="C669" s="2">
        <v>24.35003553353852</v>
      </c>
      <c r="AN669" s="3">
        <f t="shared" si="44"/>
        <v>161.19020895280948</v>
      </c>
      <c r="AO669" s="3">
        <f t="shared" si="45"/>
        <v>31.892138554704147</v>
      </c>
    </row>
    <row r="670" spans="1:41" x14ac:dyDescent="0.3">
      <c r="A670" s="2">
        <v>16.942840443453051</v>
      </c>
      <c r="B670" s="2">
        <v>26.562308721664809</v>
      </c>
      <c r="C670" s="2">
        <v>31.953280121780899</v>
      </c>
      <c r="AN670" s="3">
        <f t="shared" si="44"/>
        <v>1.6644969055935119</v>
      </c>
      <c r="AO670" s="3">
        <f t="shared" si="45"/>
        <v>3.8256703053991177</v>
      </c>
    </row>
    <row r="671" spans="1:41" x14ac:dyDescent="0.3">
      <c r="A671" s="2">
        <v>2.327296191865531</v>
      </c>
      <c r="B671" s="2">
        <v>30.44786580331531</v>
      </c>
      <c r="C671" s="2">
        <v>26.973022573044659</v>
      </c>
      <c r="AN671" s="3">
        <f t="shared" si="44"/>
        <v>26.787983443103624</v>
      </c>
      <c r="AO671" s="3">
        <f t="shared" si="45"/>
        <v>9.1465445349308094</v>
      </c>
    </row>
    <row r="672" spans="1:41" x14ac:dyDescent="0.3">
      <c r="A672" s="2">
        <v>5.6508540474968081</v>
      </c>
      <c r="B672" s="2">
        <v>20.258156872128989</v>
      </c>
      <c r="C672" s="2">
        <v>32.927245768976462</v>
      </c>
      <c r="AN672" s="3">
        <f t="shared" si="44"/>
        <v>25.14017613784997</v>
      </c>
      <c r="AO672" s="3">
        <f t="shared" si="45"/>
        <v>8.5843006975568859</v>
      </c>
    </row>
    <row r="673" spans="1:41" x14ac:dyDescent="0.3">
      <c r="A673" s="2">
        <v>16.485778062424021</v>
      </c>
      <c r="B673" s="2">
        <v>33.246721842198852</v>
      </c>
      <c r="C673" s="2">
        <v>25.68617785521106</v>
      </c>
      <c r="AN673" s="3">
        <f t="shared" si="44"/>
        <v>63.59371805182483</v>
      </c>
      <c r="AO673" s="3">
        <f t="shared" si="45"/>
        <v>18.586188369135563</v>
      </c>
    </row>
    <row r="674" spans="1:41" x14ac:dyDescent="0.3">
      <c r="A674" s="2">
        <v>17.89355084655995</v>
      </c>
      <c r="B674" s="2">
        <v>25.181410596294171</v>
      </c>
      <c r="C674" s="2">
        <v>29.46851110738071</v>
      </c>
      <c r="AN674" s="3">
        <f t="shared" si="44"/>
        <v>8.2345271050466295E-3</v>
      </c>
      <c r="AO674" s="3">
        <f t="shared" si="45"/>
        <v>0.27966850215133449</v>
      </c>
    </row>
    <row r="675" spans="1:41" x14ac:dyDescent="0.3">
      <c r="A675" s="2">
        <v>0.38228740725149468</v>
      </c>
      <c r="B675" s="2">
        <v>20.33705121656341</v>
      </c>
      <c r="C675" s="2">
        <v>30.575202789919722</v>
      </c>
      <c r="AN675" s="3">
        <f t="shared" si="44"/>
        <v>24.355248281972585</v>
      </c>
      <c r="AO675" s="3">
        <f t="shared" si="45"/>
        <v>0.33391611107692099</v>
      </c>
    </row>
    <row r="676" spans="1:41" x14ac:dyDescent="0.3">
      <c r="A676" s="2">
        <v>1.9186066834179769</v>
      </c>
      <c r="B676" s="2">
        <v>21.95948141435526</v>
      </c>
      <c r="C676" s="2">
        <v>32.486761974275439</v>
      </c>
      <c r="AN676" s="3">
        <f t="shared" si="44"/>
        <v>10.973805565909689</v>
      </c>
      <c r="AO676" s="3">
        <f t="shared" si="45"/>
        <v>6.1971817321674587</v>
      </c>
    </row>
    <row r="677" spans="1:41" x14ac:dyDescent="0.3">
      <c r="A677" s="2">
        <v>5.9549728301202283</v>
      </c>
      <c r="B677" s="2">
        <v>14.828562113113019</v>
      </c>
      <c r="C677" s="2">
        <v>31.473927353092979</v>
      </c>
      <c r="AN677" s="3">
        <f t="shared" si="44"/>
        <v>109.06863011993011</v>
      </c>
      <c r="AO677" s="3">
        <f t="shared" si="45"/>
        <v>2.1802864654831851</v>
      </c>
    </row>
    <row r="678" spans="1:41" x14ac:dyDescent="0.3">
      <c r="A678" s="2">
        <v>6.9184784031695621</v>
      </c>
      <c r="B678" s="2">
        <v>31.602963793871869</v>
      </c>
      <c r="C678" s="2">
        <v>24.13598815943897</v>
      </c>
      <c r="AN678" s="3">
        <f t="shared" si="44"/>
        <v>40.079141358864099</v>
      </c>
      <c r="AO678" s="3">
        <f t="shared" si="45"/>
        <v>34.355539658862014</v>
      </c>
    </row>
    <row r="679" spans="1:41" x14ac:dyDescent="0.3">
      <c r="A679" s="2">
        <v>4.6417566113243396</v>
      </c>
      <c r="B679" s="2">
        <v>16.963398009744811</v>
      </c>
      <c r="C679" s="2">
        <v>35.184116690660893</v>
      </c>
      <c r="AN679" s="3">
        <f t="shared" si="44"/>
        <v>69.035440919440674</v>
      </c>
      <c r="AO679" s="3">
        <f t="shared" si="45"/>
        <v>26.902569027150214</v>
      </c>
    </row>
    <row r="680" spans="1:41" x14ac:dyDescent="0.3">
      <c r="A680" s="2">
        <v>2.8773476119159498</v>
      </c>
      <c r="B680" s="2">
        <v>24.3731398407377</v>
      </c>
      <c r="C680" s="2">
        <v>30.182983877174792</v>
      </c>
      <c r="AN680" s="3">
        <f t="shared" si="44"/>
        <v>0.80822806142426395</v>
      </c>
      <c r="AO680" s="3">
        <f t="shared" si="45"/>
        <v>3.4460663745509733E-2</v>
      </c>
    </row>
    <row r="681" spans="1:41" x14ac:dyDescent="0.3">
      <c r="A681" s="2">
        <v>24.46843061709156</v>
      </c>
      <c r="B681" s="2">
        <v>29.997816001255</v>
      </c>
      <c r="C681" s="2">
        <v>27.53115224221272</v>
      </c>
      <c r="AN681" s="3">
        <f t="shared" si="44"/>
        <v>22.331872924633934</v>
      </c>
      <c r="AO681" s="3">
        <f t="shared" si="45"/>
        <v>6.0821217169836173</v>
      </c>
    </row>
    <row r="682" spans="1:41" x14ac:dyDescent="0.3">
      <c r="A682" s="2">
        <v>0.27329398638193519</v>
      </c>
      <c r="B682" s="2">
        <v>28.751993467000808</v>
      </c>
      <c r="C682" s="2">
        <v>24.496888876847059</v>
      </c>
      <c r="AN682" s="3">
        <f t="shared" si="44"/>
        <v>12.109276511825582</v>
      </c>
      <c r="AO682" s="3">
        <f t="shared" si="45"/>
        <v>30.255051014345252</v>
      </c>
    </row>
    <row r="683" spans="1:41" x14ac:dyDescent="0.3">
      <c r="A683" s="2">
        <v>4.3960166400982468</v>
      </c>
      <c r="B683" s="2">
        <v>28.227686491257511</v>
      </c>
      <c r="C683" s="2">
        <v>34.323929827348103</v>
      </c>
      <c r="AN683" s="3">
        <f t="shared" si="44"/>
        <v>8.7351670374047785</v>
      </c>
      <c r="AO683" s="3">
        <f t="shared" si="45"/>
        <v>18.719309955665096</v>
      </c>
    </row>
    <row r="684" spans="1:41" x14ac:dyDescent="0.3">
      <c r="A684" s="2">
        <v>13.07063837429564</v>
      </c>
      <c r="B684" s="2">
        <v>26.955963230984342</v>
      </c>
      <c r="C684" s="2">
        <v>24.14879033704252</v>
      </c>
      <c r="AN684" s="3">
        <f t="shared" si="44"/>
        <v>2.8352105242535104</v>
      </c>
      <c r="AO684" s="3">
        <f t="shared" si="45"/>
        <v>34.205627214214317</v>
      </c>
    </row>
    <row r="685" spans="1:41" x14ac:dyDescent="0.3">
      <c r="A685" s="2">
        <v>7.4073294918630106</v>
      </c>
      <c r="B685" s="2">
        <v>21.25054771377236</v>
      </c>
      <c r="C685" s="2">
        <v>27.95540405997982</v>
      </c>
      <c r="AN685" s="3">
        <f t="shared" si="44"/>
        <v>16.173324291624475</v>
      </c>
      <c r="AO685" s="3">
        <f t="shared" si="45"/>
        <v>4.1695352208194087</v>
      </c>
    </row>
    <row r="686" spans="1:41" x14ac:dyDescent="0.3">
      <c r="A686" s="2">
        <v>12.271677074146909</v>
      </c>
      <c r="B686" s="2">
        <v>20.376239710248989</v>
      </c>
      <c r="C686" s="2">
        <v>31.286572186459381</v>
      </c>
      <c r="AN686" s="3">
        <f t="shared" si="44"/>
        <v>23.969985461607248</v>
      </c>
      <c r="AO686" s="3">
        <f t="shared" si="45"/>
        <v>1.6620988977438083</v>
      </c>
    </row>
    <row r="687" spans="1:41" x14ac:dyDescent="0.3">
      <c r="A687" s="2">
        <v>12.32218784915961</v>
      </c>
      <c r="B687" s="2">
        <v>20.33390152414308</v>
      </c>
      <c r="C687" s="2">
        <v>30.88863418172247</v>
      </c>
      <c r="AN687" s="3">
        <f t="shared" si="44"/>
        <v>24.386346319811651</v>
      </c>
      <c r="AO687" s="3">
        <f t="shared" si="45"/>
        <v>0.79439098499538552</v>
      </c>
    </row>
    <row r="688" spans="1:41" x14ac:dyDescent="0.3">
      <c r="A688" s="2">
        <v>4.0399284089324077</v>
      </c>
      <c r="B688" s="2">
        <v>33.374221745721059</v>
      </c>
      <c r="C688" s="2">
        <v>26.415610512525429</v>
      </c>
      <c r="AN688" s="3">
        <f t="shared" si="44"/>
        <v>65.6434873109243</v>
      </c>
      <c r="AO688" s="3">
        <f t="shared" si="45"/>
        <v>12.828843721470857</v>
      </c>
    </row>
    <row r="689" spans="1:41" x14ac:dyDescent="0.3">
      <c r="A689" s="2">
        <v>12.79080564233017</v>
      </c>
      <c r="B689" s="2">
        <v>15.67748669635219</v>
      </c>
      <c r="C689" s="2">
        <v>34.243512039939802</v>
      </c>
      <c r="AN689" s="3">
        <f t="shared" si="44"/>
        <v>92.057657774203165</v>
      </c>
      <c r="AO689" s="3">
        <f t="shared" si="45"/>
        <v>18.029908707566698</v>
      </c>
    </row>
    <row r="690" spans="1:41" x14ac:dyDescent="0.3">
      <c r="A690" s="2">
        <v>22.786113617294699</v>
      </c>
      <c r="B690" s="2">
        <v>36.050667685158317</v>
      </c>
      <c r="C690" s="2">
        <v>21.282481082481532</v>
      </c>
      <c r="AN690" s="3">
        <f t="shared" si="44"/>
        <v>116.17633804392975</v>
      </c>
      <c r="AO690" s="3">
        <f t="shared" si="45"/>
        <v>75.948906101240695</v>
      </c>
    </row>
    <row r="691" spans="1:41" x14ac:dyDescent="0.3">
      <c r="A691" s="2">
        <v>11.87720983903499</v>
      </c>
      <c r="B691" s="2">
        <v>22.991006591552871</v>
      </c>
      <c r="C691" s="2">
        <v>31.754202341837999</v>
      </c>
      <c r="AN691" s="3">
        <f t="shared" si="44"/>
        <v>5.2036375661667593</v>
      </c>
      <c r="AO691" s="3">
        <f t="shared" si="45"/>
        <v>3.0865370350656969</v>
      </c>
    </row>
    <row r="692" spans="1:41" x14ac:dyDescent="0.3">
      <c r="A692" s="2">
        <v>9.871343075967232</v>
      </c>
      <c r="B692" s="2">
        <v>22.865655502024492</v>
      </c>
      <c r="C692" s="2">
        <v>28.9252680424616</v>
      </c>
      <c r="AN692" s="3">
        <f t="shared" si="44"/>
        <v>5.7912393113509166</v>
      </c>
      <c r="AO692" s="3">
        <f t="shared" si="45"/>
        <v>1.1493555228433787</v>
      </c>
    </row>
    <row r="693" spans="1:41" x14ac:dyDescent="0.3">
      <c r="A693" s="2">
        <v>7.2708153856196143</v>
      </c>
      <c r="B693" s="2">
        <v>19.706929633733061</v>
      </c>
      <c r="C693" s="2">
        <v>28.157981255525101</v>
      </c>
      <c r="AN693" s="3">
        <f t="shared" si="44"/>
        <v>30.971732169235956</v>
      </c>
      <c r="AO693" s="3">
        <f t="shared" si="45"/>
        <v>3.383270170783006</v>
      </c>
    </row>
    <row r="694" spans="1:41" x14ac:dyDescent="0.3">
      <c r="A694" s="2">
        <v>3.3268501371590968</v>
      </c>
      <c r="B694" s="2">
        <v>23.429266840115229</v>
      </c>
      <c r="C694" s="2">
        <v>21.374173858282582</v>
      </c>
      <c r="AN694" s="3">
        <f t="shared" si="44"/>
        <v>3.3962363697873679</v>
      </c>
      <c r="AO694" s="3">
        <f t="shared" si="45"/>
        <v>74.35913298208412</v>
      </c>
    </row>
    <row r="695" spans="1:41" x14ac:dyDescent="0.3">
      <c r="A695" s="2">
        <v>20.574380990379051</v>
      </c>
      <c r="B695" s="2">
        <v>29.758677923012261</v>
      </c>
      <c r="C695" s="2">
        <v>30.381899533328411</v>
      </c>
      <c r="AN695" s="3">
        <f t="shared" si="44"/>
        <v>20.128888912653657</v>
      </c>
      <c r="AO695" s="3">
        <f t="shared" si="45"/>
        <v>0.14787985040363583</v>
      </c>
    </row>
    <row r="696" spans="1:41" x14ac:dyDescent="0.3">
      <c r="A696" s="2">
        <v>1.947807178718979</v>
      </c>
      <c r="B696" s="2">
        <v>23.825362120739509</v>
      </c>
      <c r="C696" s="2">
        <v>31.506630004010169</v>
      </c>
      <c r="AN696" s="3">
        <f t="shared" si="44"/>
        <v>2.0932093214075365</v>
      </c>
      <c r="AO696" s="3">
        <f t="shared" si="45"/>
        <v>2.2779320444629358</v>
      </c>
    </row>
    <row r="697" spans="1:41" x14ac:dyDescent="0.3">
      <c r="A697" s="2">
        <v>13.45291604123328</v>
      </c>
      <c r="B697" s="2">
        <v>29.29883777544487</v>
      </c>
      <c r="C697" s="2">
        <v>36.393020160348037</v>
      </c>
      <c r="AN697" s="3">
        <f t="shared" si="44"/>
        <v>16.214175048180991</v>
      </c>
      <c r="AO697" s="3">
        <f t="shared" si="45"/>
        <v>40.904621860727609</v>
      </c>
    </row>
    <row r="698" spans="1:41" x14ac:dyDescent="0.3">
      <c r="A698" s="2">
        <v>1.633592305810271</v>
      </c>
      <c r="B698" s="2">
        <v>28.530616109105601</v>
      </c>
      <c r="C698" s="2">
        <v>25.483390010521831</v>
      </c>
      <c r="AN698" s="3">
        <f t="shared" si="44"/>
        <v>10.617569506903918</v>
      </c>
      <c r="AO698" s="3">
        <f t="shared" si="45"/>
        <v>20.375817099138516</v>
      </c>
    </row>
    <row r="699" spans="1:41" x14ac:dyDescent="0.3">
      <c r="A699" s="2">
        <v>8.577497972229235</v>
      </c>
      <c r="B699" s="2">
        <v>20.16193858232457</v>
      </c>
      <c r="C699" s="2">
        <v>37.475776995013867</v>
      </c>
      <c r="AN699" s="3">
        <f t="shared" si="44"/>
        <v>26.114310726148304</v>
      </c>
      <c r="AO699" s="3">
        <f t="shared" si="45"/>
        <v>55.926899623181662</v>
      </c>
    </row>
    <row r="700" spans="1:41" x14ac:dyDescent="0.3">
      <c r="A700" s="2">
        <v>9.2825328436679566</v>
      </c>
      <c r="B700" s="2">
        <v>23.242105665178372</v>
      </c>
      <c r="C700" s="2">
        <v>34.781731895626052</v>
      </c>
      <c r="AN700" s="3">
        <f t="shared" si="44"/>
        <v>4.1210998611244802</v>
      </c>
      <c r="AO700" s="3">
        <f t="shared" si="45"/>
        <v>22.890328870292908</v>
      </c>
    </row>
    <row r="701" spans="1:41" x14ac:dyDescent="0.3">
      <c r="A701" s="2">
        <v>0.82333973840767261</v>
      </c>
      <c r="B701" s="2">
        <v>29.903510662603001</v>
      </c>
      <c r="C701" s="2">
        <v>30.984728015184849</v>
      </c>
      <c r="AN701" s="3">
        <f t="shared" si="44"/>
        <v>21.449456278904503</v>
      </c>
      <c r="AO701" s="3">
        <f t="shared" si="45"/>
        <v>0.97491921381059499</v>
      </c>
    </row>
    <row r="702" spans="1:41" x14ac:dyDescent="0.3">
      <c r="A702" s="2">
        <v>9.4420675362803514</v>
      </c>
      <c r="B702" s="2">
        <v>28.085339688165568</v>
      </c>
      <c r="C702" s="2">
        <v>21.189464946266309</v>
      </c>
      <c r="AN702" s="3">
        <f t="shared" si="44"/>
        <v>7.9140087004183401</v>
      </c>
      <c r="AO702" s="3">
        <f t="shared" si="45"/>
        <v>77.578804607022619</v>
      </c>
    </row>
    <row r="703" spans="1:41" x14ac:dyDescent="0.3">
      <c r="A703" s="2">
        <v>2.766363064361518</v>
      </c>
      <c r="B703" s="2">
        <v>30.327990885497119</v>
      </c>
      <c r="C703" s="2">
        <v>29.92694748386057</v>
      </c>
      <c r="AN703" s="3">
        <f t="shared" si="44"/>
        <v>25.561477598606679</v>
      </c>
      <c r="AO703" s="3">
        <f t="shared" si="45"/>
        <v>4.9562384177834718E-3</v>
      </c>
    </row>
    <row r="704" spans="1:41" x14ac:dyDescent="0.3">
      <c r="A704" s="2">
        <v>6.4848155574795463</v>
      </c>
      <c r="B704" s="2">
        <v>18.151214720754091</v>
      </c>
      <c r="C704" s="2">
        <v>34.711801812302511</v>
      </c>
      <c r="AN704" s="3">
        <f t="shared" si="44"/>
        <v>50.707788914765537</v>
      </c>
      <c r="AO704" s="3">
        <f t="shared" si="45"/>
        <v>22.226074363607363</v>
      </c>
    </row>
    <row r="705" spans="1:41" x14ac:dyDescent="0.3">
      <c r="A705" s="2">
        <v>8.8494889647475929</v>
      </c>
      <c r="B705" s="2">
        <v>26.883330243030979</v>
      </c>
      <c r="C705" s="2">
        <v>16.701626235432769</v>
      </c>
      <c r="AN705" s="3">
        <f t="shared" si="44"/>
        <v>2.5958860135115813</v>
      </c>
      <c r="AO705" s="3">
        <f t="shared" si="45"/>
        <v>176.77621832579348</v>
      </c>
    </row>
    <row r="706" spans="1:41" x14ac:dyDescent="0.3">
      <c r="A706" s="2">
        <v>3.4598955484491651</v>
      </c>
      <c r="B706" s="2">
        <v>23.288120406133359</v>
      </c>
      <c r="C706" s="2">
        <v>37.355466896669853</v>
      </c>
      <c r="AN706" s="3">
        <f t="shared" si="44"/>
        <v>3.9363928389632399</v>
      </c>
      <c r="AO706" s="3">
        <f t="shared" si="45"/>
        <v>54.141913097065512</v>
      </c>
    </row>
    <row r="707" spans="1:41" x14ac:dyDescent="0.3">
      <c r="A707" s="2">
        <v>11.83505915227275</v>
      </c>
      <c r="B707" s="2">
        <v>37.486695780862398</v>
      </c>
      <c r="C707" s="2">
        <v>27.49355870866713</v>
      </c>
      <c r="AN707" s="3">
        <f t="shared" ref="AN707:AN770" si="46">(B707-$AK$2)^2</f>
        <v>149.1950091388961</v>
      </c>
      <c r="AO707" s="3">
        <f t="shared" ref="AO707:AO770" si="47">(C707-$AK$3)^2</f>
        <v>6.2689610197166399</v>
      </c>
    </row>
    <row r="708" spans="1:41" x14ac:dyDescent="0.3">
      <c r="A708" s="2">
        <v>1.725554493797518</v>
      </c>
      <c r="B708" s="2">
        <v>29.641503596062201</v>
      </c>
      <c r="C708" s="2">
        <v>34.350379307174833</v>
      </c>
      <c r="AN708" s="3">
        <f t="shared" si="46"/>
        <v>19.091208102413574</v>
      </c>
      <c r="AO708" s="3">
        <f t="shared" si="47"/>
        <v>18.948881206012061</v>
      </c>
    </row>
    <row r="709" spans="1:41" x14ac:dyDescent="0.3">
      <c r="A709" s="2">
        <v>6.2924436116089977</v>
      </c>
      <c r="B709" s="2">
        <v>24.58233344104838</v>
      </c>
      <c r="C709" s="2">
        <v>28.233447283707122</v>
      </c>
      <c r="AN709" s="3">
        <f t="shared" si="46"/>
        <v>0.47585363344725745</v>
      </c>
      <c r="AO709" s="3">
        <f t="shared" si="47"/>
        <v>3.1113458808828884</v>
      </c>
    </row>
    <row r="710" spans="1:41" x14ac:dyDescent="0.3">
      <c r="A710" s="2">
        <v>7.5050729282483806</v>
      </c>
      <c r="B710" s="2">
        <v>23.291125836937731</v>
      </c>
      <c r="C710" s="2">
        <v>27.047098974110551</v>
      </c>
      <c r="AN710" s="3">
        <f t="shared" si="46"/>
        <v>3.9244761148592899</v>
      </c>
      <c r="AO710" s="3">
        <f t="shared" si="47"/>
        <v>8.7039695555187926</v>
      </c>
    </row>
    <row r="711" spans="1:41" x14ac:dyDescent="0.3">
      <c r="A711" s="2">
        <v>11.667450586356919</v>
      </c>
      <c r="B711" s="2">
        <v>34.491905078335549</v>
      </c>
      <c r="C711" s="2">
        <v>32.668180212662797</v>
      </c>
      <c r="AN711" s="3">
        <f t="shared" si="46"/>
        <v>85.003793508401515</v>
      </c>
      <c r="AO711" s="3">
        <f t="shared" si="47"/>
        <v>7.1333444902421146</v>
      </c>
    </row>
    <row r="712" spans="1:41" x14ac:dyDescent="0.3">
      <c r="A712" s="2">
        <v>0.90804333833413442</v>
      </c>
      <c r="B712" s="2">
        <v>22.435932924502939</v>
      </c>
      <c r="C712" s="2">
        <v>25.918737518475201</v>
      </c>
      <c r="AN712" s="3">
        <f t="shared" si="46"/>
        <v>8.0441550458467628</v>
      </c>
      <c r="AO712" s="3">
        <f t="shared" si="47"/>
        <v>16.635063792841834</v>
      </c>
    </row>
    <row r="713" spans="1:41" x14ac:dyDescent="0.3">
      <c r="A713" s="2">
        <v>17.565635593319971</v>
      </c>
      <c r="B713" s="2">
        <v>30.652188981823929</v>
      </c>
      <c r="C713" s="2">
        <v>33.182560470599768</v>
      </c>
      <c r="AN713" s="3">
        <f t="shared" si="46"/>
        <v>28.944766813483753</v>
      </c>
      <c r="AO713" s="3">
        <f t="shared" si="47"/>
        <v>10.145578222932775</v>
      </c>
    </row>
    <row r="714" spans="1:41" x14ac:dyDescent="0.3">
      <c r="A714" s="2">
        <v>21.7383224947923</v>
      </c>
      <c r="B714" s="2">
        <v>24.328414643917661</v>
      </c>
      <c r="C714" s="2">
        <v>33.464595660298251</v>
      </c>
      <c r="AN714" s="3">
        <f t="shared" si="46"/>
        <v>0.89064565483027214</v>
      </c>
      <c r="AO714" s="3">
        <f t="shared" si="47"/>
        <v>12.021806054896514</v>
      </c>
    </row>
    <row r="715" spans="1:41" x14ac:dyDescent="0.3">
      <c r="A715" s="2">
        <v>5.243074426287011</v>
      </c>
      <c r="B715" s="2">
        <v>24.203368075486591</v>
      </c>
      <c r="C715" s="2">
        <v>26.9030638616719</v>
      </c>
      <c r="AN715" s="3">
        <f t="shared" si="46"/>
        <v>1.1423052579974424</v>
      </c>
      <c r="AO715" s="3">
        <f t="shared" si="47"/>
        <v>9.5745945812201079</v>
      </c>
    </row>
    <row r="716" spans="1:41" x14ac:dyDescent="0.3">
      <c r="A716" s="2">
        <v>2.491285567169319</v>
      </c>
      <c r="B716" s="2">
        <v>17.015803503275318</v>
      </c>
      <c r="C716" s="2">
        <v>34.277654181553281</v>
      </c>
      <c r="AN716" s="3">
        <f t="shared" si="46"/>
        <v>68.167338245170342</v>
      </c>
      <c r="AO716" s="3">
        <f t="shared" si="47"/>
        <v>18.321020658545834</v>
      </c>
    </row>
    <row r="717" spans="1:41" x14ac:dyDescent="0.3">
      <c r="A717" s="2">
        <v>14.10563572316109</v>
      </c>
      <c r="B717" s="2">
        <v>35.602447564675103</v>
      </c>
      <c r="C717" s="2">
        <v>26.335365291107809</v>
      </c>
      <c r="AN717" s="3">
        <f t="shared" si="46"/>
        <v>106.71494671429262</v>
      </c>
      <c r="AO717" s="3">
        <f t="shared" si="47"/>
        <v>13.410117659064062</v>
      </c>
    </row>
    <row r="718" spans="1:41" x14ac:dyDescent="0.3">
      <c r="A718" s="2">
        <v>7.5298279112698392</v>
      </c>
      <c r="B718" s="2">
        <v>22.26292428033841</v>
      </c>
      <c r="C718" s="2">
        <v>35.611730939695732</v>
      </c>
      <c r="AN718" s="3">
        <f t="shared" si="46"/>
        <v>9.0554688709080171</v>
      </c>
      <c r="AO718" s="3">
        <f t="shared" si="47"/>
        <v>31.521295335380831</v>
      </c>
    </row>
    <row r="719" spans="1:41" x14ac:dyDescent="0.3">
      <c r="A719" s="2">
        <v>3.499029266564019</v>
      </c>
      <c r="B719" s="2">
        <v>25.216494692593241</v>
      </c>
      <c r="C719" s="2">
        <v>27.10654701822995</v>
      </c>
      <c r="AN719" s="3">
        <f t="shared" si="46"/>
        <v>3.0980577378280456E-3</v>
      </c>
      <c r="AO719" s="3">
        <f t="shared" si="47"/>
        <v>8.3567305521085338</v>
      </c>
    </row>
    <row r="720" spans="1:41" x14ac:dyDescent="0.3">
      <c r="A720" s="2">
        <v>8.8938702562400529</v>
      </c>
      <c r="B720" s="2">
        <v>22.957535002987221</v>
      </c>
      <c r="C720" s="2">
        <v>28.659503439353429</v>
      </c>
      <c r="AN720" s="3">
        <f t="shared" si="46"/>
        <v>5.3574652281112787</v>
      </c>
      <c r="AO720" s="3">
        <f t="shared" si="47"/>
        <v>1.7898281776273637</v>
      </c>
    </row>
    <row r="721" spans="1:41" x14ac:dyDescent="0.3">
      <c r="A721" s="2">
        <v>35.014972125823277</v>
      </c>
      <c r="B721" s="2">
        <v>23.979618986635789</v>
      </c>
      <c r="C721" s="2">
        <v>30.010230628223908</v>
      </c>
      <c r="AN721" s="3">
        <f t="shared" si="46"/>
        <v>1.670649065258369</v>
      </c>
      <c r="AO721" s="3">
        <f t="shared" si="47"/>
        <v>1.6596105866117523E-4</v>
      </c>
    </row>
    <row r="722" spans="1:41" x14ac:dyDescent="0.3">
      <c r="A722" s="2">
        <v>9.2776136463073815</v>
      </c>
      <c r="B722" s="2">
        <v>22.92379899776061</v>
      </c>
      <c r="C722" s="2">
        <v>35.649285683233067</v>
      </c>
      <c r="AN722" s="3">
        <f t="shared" si="46"/>
        <v>5.514775403470165</v>
      </c>
      <c r="AO722" s="3">
        <f t="shared" si="47"/>
        <v>31.944399113919626</v>
      </c>
    </row>
    <row r="723" spans="1:41" x14ac:dyDescent="0.3">
      <c r="A723" s="2">
        <v>16.595787906778671</v>
      </c>
      <c r="B723" s="2">
        <v>21.969455037993249</v>
      </c>
      <c r="C723" s="2">
        <v>31.2482595821076</v>
      </c>
      <c r="AN723" s="3">
        <f t="shared" si="46"/>
        <v>10.907826322085786</v>
      </c>
      <c r="AO723" s="3">
        <f t="shared" si="47"/>
        <v>1.5647796841694226</v>
      </c>
    </row>
    <row r="724" spans="1:41" x14ac:dyDescent="0.3">
      <c r="A724" s="2">
        <v>20.65208402522325</v>
      </c>
      <c r="B724" s="2">
        <v>27.603144625209431</v>
      </c>
      <c r="C724" s="2">
        <v>25.310617938189349</v>
      </c>
      <c r="AN724" s="3">
        <f t="shared" si="46"/>
        <v>5.4335131388477222</v>
      </c>
      <c r="AO724" s="3">
        <f t="shared" si="47"/>
        <v>21.96543905474357</v>
      </c>
    </row>
    <row r="725" spans="1:41" x14ac:dyDescent="0.3">
      <c r="A725" s="2">
        <v>11.260554566222901</v>
      </c>
      <c r="B725" s="2">
        <v>29.91711783192093</v>
      </c>
      <c r="C725" s="2">
        <v>32.449879023877031</v>
      </c>
      <c r="AN725" s="3">
        <f t="shared" si="46"/>
        <v>21.575680718260383</v>
      </c>
      <c r="AO725" s="3">
        <f t="shared" si="47"/>
        <v>6.0149082229388027</v>
      </c>
    </row>
    <row r="726" spans="1:41" x14ac:dyDescent="0.3">
      <c r="A726" s="2">
        <v>1.5756218360651161E-2</v>
      </c>
      <c r="B726" s="2">
        <v>26.236510382021969</v>
      </c>
      <c r="C726" s="2">
        <v>29.969478683074051</v>
      </c>
      <c r="AN726" s="3">
        <f t="shared" si="46"/>
        <v>0.92998151217804048</v>
      </c>
      <c r="AO726" s="3">
        <f t="shared" si="47"/>
        <v>7.7670110021583994E-4</v>
      </c>
    </row>
    <row r="727" spans="1:41" x14ac:dyDescent="0.3">
      <c r="A727" s="2">
        <v>1.317095547333387</v>
      </c>
      <c r="B727" s="2">
        <v>29.08859560104041</v>
      </c>
      <c r="C727" s="2">
        <v>35.614202778694413</v>
      </c>
      <c r="AN727" s="3">
        <f t="shared" si="46"/>
        <v>14.565219689746682</v>
      </c>
      <c r="AO727" s="3">
        <f t="shared" si="47"/>
        <v>31.549057146574878</v>
      </c>
    </row>
    <row r="728" spans="1:41" x14ac:dyDescent="0.3">
      <c r="A728" s="2">
        <v>20.72116611173664</v>
      </c>
      <c r="B728" s="2">
        <v>20.28926303441505</v>
      </c>
      <c r="C728" s="2">
        <v>32.12262245663328</v>
      </c>
      <c r="AN728" s="3">
        <f t="shared" si="46"/>
        <v>24.829211258999567</v>
      </c>
      <c r="AO728" s="3">
        <f t="shared" si="47"/>
        <v>4.516791342583371</v>
      </c>
    </row>
    <row r="729" spans="1:41" x14ac:dyDescent="0.3">
      <c r="A729" s="2">
        <v>9.3539567826137375</v>
      </c>
      <c r="B729" s="2">
        <v>17.72184056402839</v>
      </c>
      <c r="C729" s="2">
        <v>31.422201348111329</v>
      </c>
      <c r="AN729" s="3">
        <f t="shared" si="46"/>
        <v>57.007246443011013</v>
      </c>
      <c r="AO729" s="3">
        <f t="shared" si="47"/>
        <v>2.0302069473479079</v>
      </c>
    </row>
    <row r="730" spans="1:41" x14ac:dyDescent="0.3">
      <c r="A730" s="2">
        <v>1.4935748983968899</v>
      </c>
      <c r="B730" s="2">
        <v>16.905472520920551</v>
      </c>
      <c r="C730" s="2">
        <v>31.408056092938249</v>
      </c>
      <c r="AN730" s="3">
        <f t="shared" si="46"/>
        <v>70.001373889486729</v>
      </c>
      <c r="AO730" s="3">
        <f t="shared" si="47"/>
        <v>1.9900972083596484</v>
      </c>
    </row>
    <row r="731" spans="1:41" x14ac:dyDescent="0.3">
      <c r="A731" s="2">
        <v>12.93996013746375</v>
      </c>
      <c r="B731" s="2">
        <v>16.9814973727036</v>
      </c>
      <c r="C731" s="2">
        <v>26.115882033776611</v>
      </c>
      <c r="AN731" s="3">
        <f t="shared" si="46"/>
        <v>68.735002093303208</v>
      </c>
      <c r="AO731" s="3">
        <f t="shared" si="47"/>
        <v>15.065778363700227</v>
      </c>
    </row>
    <row r="732" spans="1:41" x14ac:dyDescent="0.3">
      <c r="A732" s="2">
        <v>10.57414166576454</v>
      </c>
      <c r="B732" s="2">
        <v>20.46009501406396</v>
      </c>
      <c r="C732" s="2">
        <v>35.870890343255297</v>
      </c>
      <c r="AN732" s="3">
        <f t="shared" si="46"/>
        <v>23.155920263639679</v>
      </c>
      <c r="AO732" s="3">
        <f t="shared" si="47"/>
        <v>34.498499178698381</v>
      </c>
    </row>
    <row r="733" spans="1:41" x14ac:dyDescent="0.3">
      <c r="A733" s="2">
        <v>1.3214992108101291</v>
      </c>
      <c r="B733" s="2">
        <v>27.829662910786301</v>
      </c>
      <c r="C733" s="2">
        <v>29.53235872706755</v>
      </c>
      <c r="AN733" s="3">
        <f t="shared" si="46"/>
        <v>6.5408472689210555</v>
      </c>
      <c r="AO733" s="3">
        <f t="shared" si="47"/>
        <v>0.21621506188802697</v>
      </c>
    </row>
    <row r="734" spans="1:41" x14ac:dyDescent="0.3">
      <c r="A734" s="2">
        <v>3.2897605761548152</v>
      </c>
      <c r="B734" s="2">
        <v>18.055380758651669</v>
      </c>
      <c r="C734" s="2">
        <v>21.5565668367942</v>
      </c>
      <c r="AN734" s="3">
        <f t="shared" si="46"/>
        <v>52.081828883963766</v>
      </c>
      <c r="AO734" s="3">
        <f t="shared" si="47"/>
        <v>71.246787333945733</v>
      </c>
    </row>
    <row r="735" spans="1:41" x14ac:dyDescent="0.3">
      <c r="A735" s="2">
        <v>7.6339336676376837</v>
      </c>
      <c r="B735" s="2">
        <v>20.227343633785971</v>
      </c>
      <c r="C735" s="2">
        <v>26.471144741141892</v>
      </c>
      <c r="AN735" s="3">
        <f t="shared" si="46"/>
        <v>25.450120625549257</v>
      </c>
      <c r="AO735" s="3">
        <f t="shared" si="47"/>
        <v>12.434109710539841</v>
      </c>
    </row>
    <row r="736" spans="1:41" x14ac:dyDescent="0.3">
      <c r="A736" s="2">
        <v>5.876983794358309</v>
      </c>
      <c r="B736" s="2">
        <v>20.35057058912745</v>
      </c>
      <c r="C736" s="2">
        <v>32.380637857610417</v>
      </c>
      <c r="AN736" s="3">
        <f t="shared" si="46"/>
        <v>24.221992044960938</v>
      </c>
      <c r="AO736" s="3">
        <f t="shared" si="47"/>
        <v>5.680070350898637</v>
      </c>
    </row>
    <row r="737" spans="1:41" x14ac:dyDescent="0.3">
      <c r="A737" s="2">
        <v>8.5180153782911603</v>
      </c>
      <c r="B737" s="2">
        <v>29.15310958358026</v>
      </c>
      <c r="C737" s="2">
        <v>32.454252714155047</v>
      </c>
      <c r="AN737" s="3">
        <f t="shared" si="46"/>
        <v>15.061809322294391</v>
      </c>
      <c r="AO737" s="3">
        <f t="shared" si="47"/>
        <v>6.0363805739398568</v>
      </c>
    </row>
    <row r="738" spans="1:41" x14ac:dyDescent="0.3">
      <c r="A738" s="2">
        <v>5.626310135630618</v>
      </c>
      <c r="B738" s="2">
        <v>29.113250059331399</v>
      </c>
      <c r="C738" s="2">
        <v>24.462854138073531</v>
      </c>
      <c r="AN738" s="3">
        <f t="shared" si="46"/>
        <v>14.754012088649096</v>
      </c>
      <c r="AO738" s="3">
        <f t="shared" si="47"/>
        <v>30.630622759348022</v>
      </c>
    </row>
    <row r="739" spans="1:41" x14ac:dyDescent="0.3">
      <c r="A739" s="2">
        <v>20.348122060278861</v>
      </c>
      <c r="B739" s="2">
        <v>28.08969358088558</v>
      </c>
      <c r="C739" s="2">
        <v>32.955996044191018</v>
      </c>
      <c r="AN739" s="3">
        <f t="shared" si="46"/>
        <v>7.9385242664130109</v>
      </c>
      <c r="AO739" s="3">
        <f t="shared" si="47"/>
        <v>8.7535980079527835</v>
      </c>
    </row>
    <row r="740" spans="1:41" x14ac:dyDescent="0.3">
      <c r="A740" s="2">
        <v>1.1380320254911509</v>
      </c>
      <c r="B740" s="2">
        <v>22.60704904480475</v>
      </c>
      <c r="C740" s="2">
        <v>26.949028861825461</v>
      </c>
      <c r="AN740" s="3">
        <f t="shared" si="46"/>
        <v>7.1027891738731634</v>
      </c>
      <c r="AO740" s="3">
        <f t="shared" si="47"/>
        <v>9.2922498169213927</v>
      </c>
    </row>
    <row r="741" spans="1:41" x14ac:dyDescent="0.3">
      <c r="A741" s="2">
        <v>1.671903623845675</v>
      </c>
      <c r="B741" s="2">
        <v>23.766745757704271</v>
      </c>
      <c r="C741" s="2">
        <v>29.256323582127539</v>
      </c>
      <c r="AN741" s="3">
        <f t="shared" si="46"/>
        <v>2.2662566599935738</v>
      </c>
      <c r="AO741" s="3">
        <f t="shared" si="47"/>
        <v>0.54911724835503961</v>
      </c>
    </row>
    <row r="742" spans="1:41" x14ac:dyDescent="0.3">
      <c r="A742" s="2">
        <v>1.636185070668069</v>
      </c>
      <c r="B742" s="2">
        <v>30.11232125921736</v>
      </c>
      <c r="C742" s="2">
        <v>29.144433942646529</v>
      </c>
      <c r="AN742" s="3">
        <f t="shared" si="46"/>
        <v>23.427210467574621</v>
      </c>
      <c r="AO742" s="3">
        <f t="shared" si="47"/>
        <v>0.72746245883381266</v>
      </c>
    </row>
    <row r="743" spans="1:41" x14ac:dyDescent="0.3">
      <c r="A743" s="2">
        <v>4.5912453377616753</v>
      </c>
      <c r="B743" s="2">
        <v>35.786510747434981</v>
      </c>
      <c r="C743" s="2">
        <v>30.863731471125011</v>
      </c>
      <c r="AN743" s="3">
        <f t="shared" si="46"/>
        <v>110.55167906608656</v>
      </c>
      <c r="AO743" s="3">
        <f t="shared" si="47"/>
        <v>0.75062024833679164</v>
      </c>
    </row>
    <row r="744" spans="1:41" x14ac:dyDescent="0.3">
      <c r="A744" s="2">
        <v>2.169156074171644</v>
      </c>
      <c r="B744" s="2">
        <v>22.21784461167794</v>
      </c>
      <c r="C744" s="2">
        <v>20.63216432873401</v>
      </c>
      <c r="AN744" s="3">
        <f t="shared" si="46"/>
        <v>9.3288112851791194</v>
      </c>
      <c r="AO744" s="3">
        <f t="shared" si="47"/>
        <v>87.706665960799526</v>
      </c>
    </row>
    <row r="745" spans="1:41" x14ac:dyDescent="0.3">
      <c r="A745" s="2">
        <v>22.948194577057969</v>
      </c>
      <c r="B745" s="2">
        <v>24.027004254276211</v>
      </c>
      <c r="C745" s="2">
        <v>32.744365536712863</v>
      </c>
      <c r="AN745" s="3">
        <f t="shared" si="46"/>
        <v>1.5504001092778732</v>
      </c>
      <c r="AO745" s="3">
        <f t="shared" si="47"/>
        <v>7.5461051228357094</v>
      </c>
    </row>
    <row r="746" spans="1:41" x14ac:dyDescent="0.3">
      <c r="A746" s="2">
        <v>11.441708647036551</v>
      </c>
      <c r="B746" s="2">
        <v>24.07141138964522</v>
      </c>
      <c r="C746" s="2">
        <v>40.594868618059429</v>
      </c>
      <c r="AN746" s="3">
        <f t="shared" si="46"/>
        <v>1.441784957149143</v>
      </c>
      <c r="AO746" s="3">
        <f t="shared" si="47"/>
        <v>112.30744238537659</v>
      </c>
    </row>
    <row r="747" spans="1:41" x14ac:dyDescent="0.3">
      <c r="A747" s="2">
        <v>3.6344640844959111</v>
      </c>
      <c r="B747" s="2">
        <v>12.882017823379931</v>
      </c>
      <c r="C747" s="2">
        <v>22.37415876561278</v>
      </c>
      <c r="AN747" s="3">
        <f t="shared" si="46"/>
        <v>153.5154965657986</v>
      </c>
      <c r="AO747" s="3">
        <f t="shared" si="47"/>
        <v>58.113014725372928</v>
      </c>
    </row>
    <row r="748" spans="1:41" x14ac:dyDescent="0.3">
      <c r="A748" s="2">
        <v>2.2492523896128862</v>
      </c>
      <c r="B748" s="2">
        <v>20.994623476036519</v>
      </c>
      <c r="C748" s="2">
        <v>32.78703450190833</v>
      </c>
      <c r="AN748" s="3">
        <f t="shared" si="46"/>
        <v>18.29727500993026</v>
      </c>
      <c r="AO748" s="3">
        <f t="shared" si="47"/>
        <v>7.7823505512752105</v>
      </c>
    </row>
    <row r="749" spans="1:41" x14ac:dyDescent="0.3">
      <c r="A749" s="2">
        <v>6.0245003672599386</v>
      </c>
      <c r="B749" s="2">
        <v>18.862561307254239</v>
      </c>
      <c r="C749" s="2">
        <v>27.794027682035189</v>
      </c>
      <c r="AN749" s="3">
        <f t="shared" si="46"/>
        <v>41.082889914684834</v>
      </c>
      <c r="AO749" s="3">
        <f t="shared" si="47"/>
        <v>4.8546206033600603</v>
      </c>
    </row>
    <row r="750" spans="1:41" x14ac:dyDescent="0.3">
      <c r="A750" s="2">
        <v>1.944142632375736</v>
      </c>
      <c r="B750" s="2">
        <v>21.16294226862102</v>
      </c>
      <c r="C750" s="2">
        <v>34.034999027638463</v>
      </c>
      <c r="AN750" s="3">
        <f t="shared" si="46"/>
        <v>16.885628379694843</v>
      </c>
      <c r="AO750" s="3">
        <f t="shared" si="47"/>
        <v>16.302625491494588</v>
      </c>
    </row>
    <row r="751" spans="1:41" x14ac:dyDescent="0.3">
      <c r="A751" s="2">
        <v>4.4406159936177056</v>
      </c>
      <c r="B751" s="2">
        <v>28.588643573506051</v>
      </c>
      <c r="C751" s="2">
        <v>29.932703001575799</v>
      </c>
      <c r="AN751" s="3">
        <f t="shared" si="46"/>
        <v>10.999097178143078</v>
      </c>
      <c r="AO751" s="3">
        <f t="shared" si="47"/>
        <v>4.1789810966671352E-3</v>
      </c>
    </row>
    <row r="752" spans="1:41" x14ac:dyDescent="0.3">
      <c r="A752" s="2">
        <v>4.1360056723478413</v>
      </c>
      <c r="B752" s="2">
        <v>24.154868198105891</v>
      </c>
      <c r="C752" s="2">
        <v>32.351516997401653</v>
      </c>
      <c r="AN752" s="3">
        <f t="shared" si="46"/>
        <v>1.2483295551449705</v>
      </c>
      <c r="AO752" s="3">
        <f t="shared" si="47"/>
        <v>5.5421114762134902</v>
      </c>
    </row>
    <row r="753" spans="1:41" x14ac:dyDescent="0.3">
      <c r="A753" s="2">
        <v>5.0735087177831364</v>
      </c>
      <c r="B753" s="2">
        <v>17.12520196856962</v>
      </c>
      <c r="C753" s="2">
        <v>34.309477624862232</v>
      </c>
      <c r="AN753" s="3">
        <f t="shared" si="46"/>
        <v>66.372841927783455</v>
      </c>
      <c r="AO753" s="3">
        <f t="shared" si="47"/>
        <v>18.59446154972013</v>
      </c>
    </row>
    <row r="754" spans="1:41" x14ac:dyDescent="0.3">
      <c r="A754" s="2">
        <v>24.45051583417894</v>
      </c>
      <c r="B754" s="2">
        <v>22.035528997006519</v>
      </c>
      <c r="C754" s="2">
        <v>37.019791211546007</v>
      </c>
      <c r="AN754" s="3">
        <f t="shared" si="46"/>
        <v>10.475747180643353</v>
      </c>
      <c r="AO754" s="3">
        <f t="shared" si="47"/>
        <v>49.314708086317182</v>
      </c>
    </row>
    <row r="755" spans="1:41" x14ac:dyDescent="0.3">
      <c r="A755" s="2">
        <v>39.9667773471147</v>
      </c>
      <c r="B755" s="2">
        <v>23.33520653099071</v>
      </c>
      <c r="C755" s="2">
        <v>36.930114845372927</v>
      </c>
      <c r="AN755" s="3">
        <f t="shared" si="46"/>
        <v>3.7517689511226098</v>
      </c>
      <c r="AO755" s="3">
        <f t="shared" si="47"/>
        <v>48.063255566548776</v>
      </c>
    </row>
    <row r="756" spans="1:41" x14ac:dyDescent="0.3">
      <c r="A756" s="2">
        <v>4.3274910037352594</v>
      </c>
      <c r="B756" s="2">
        <v>22.534479871241519</v>
      </c>
      <c r="C756" s="2">
        <v>34.147811518272007</v>
      </c>
      <c r="AN756" s="3">
        <f t="shared" si="46"/>
        <v>7.4948645163253493</v>
      </c>
      <c r="AO756" s="3">
        <f t="shared" si="47"/>
        <v>17.226347077805361</v>
      </c>
    </row>
    <row r="757" spans="1:41" x14ac:dyDescent="0.3">
      <c r="A757" s="2">
        <v>8.542762736855499</v>
      </c>
      <c r="B757" s="2">
        <v>27.734706126505031</v>
      </c>
      <c r="C757" s="2">
        <v>19.518381186011069</v>
      </c>
      <c r="AN757" s="3">
        <f t="shared" si="46"/>
        <v>6.0641585852244271</v>
      </c>
      <c r="AO757" s="3">
        <f t="shared" si="47"/>
        <v>109.80874634382478</v>
      </c>
    </row>
    <row r="758" spans="1:41" x14ac:dyDescent="0.3">
      <c r="A758" s="2">
        <v>0.48968520997418241</v>
      </c>
      <c r="B758" s="2">
        <v>24.57515455449408</v>
      </c>
      <c r="C758" s="2">
        <v>20.85584296590671</v>
      </c>
      <c r="AN758" s="3">
        <f t="shared" si="46"/>
        <v>0.48580946972986455</v>
      </c>
      <c r="AO758" s="3">
        <f t="shared" si="47"/>
        <v>83.5671150343519</v>
      </c>
    </row>
    <row r="759" spans="1:41" x14ac:dyDescent="0.3">
      <c r="A759" s="2">
        <v>12.33555351423384</v>
      </c>
      <c r="B759" s="2">
        <v>21.96332078931248</v>
      </c>
      <c r="C759" s="2">
        <v>30.57920550205974</v>
      </c>
      <c r="AN759" s="3">
        <f t="shared" si="46"/>
        <v>10.948383115530868</v>
      </c>
      <c r="AO759" s="3">
        <f t="shared" si="47"/>
        <v>0.33855810522031105</v>
      </c>
    </row>
    <row r="760" spans="1:41" x14ac:dyDescent="0.3">
      <c r="A760" s="2">
        <v>9.694366483358964</v>
      </c>
      <c r="B760" s="2">
        <v>28.4445257038366</v>
      </c>
      <c r="C760" s="2">
        <v>30.917899878223299</v>
      </c>
      <c r="AN760" s="3">
        <f t="shared" si="46"/>
        <v>10.063936571222342</v>
      </c>
      <c r="AO760" s="3">
        <f t="shared" si="47"/>
        <v>0.8474156853781617</v>
      </c>
    </row>
    <row r="761" spans="1:41" x14ac:dyDescent="0.3">
      <c r="A761" s="2">
        <v>2.6192957056122621</v>
      </c>
      <c r="B761" s="2">
        <v>26.229845372444959</v>
      </c>
      <c r="C761" s="2">
        <v>20.767020067876508</v>
      </c>
      <c r="AN761" s="3">
        <f t="shared" si="46"/>
        <v>0.91717105737022098</v>
      </c>
      <c r="AO761" s="3">
        <f t="shared" si="47"/>
        <v>85.198954487786537</v>
      </c>
    </row>
    <row r="762" spans="1:41" x14ac:dyDescent="0.3">
      <c r="A762" s="2">
        <v>16.242876915819839</v>
      </c>
      <c r="B762" s="2">
        <v>30.546327220307589</v>
      </c>
      <c r="C762" s="2">
        <v>19.13564416852428</v>
      </c>
      <c r="AN762" s="3">
        <f t="shared" si="46"/>
        <v>27.816893754387205</v>
      </c>
      <c r="AO762" s="3">
        <f t="shared" si="47"/>
        <v>117.97661100907132</v>
      </c>
    </row>
    <row r="763" spans="1:41" x14ac:dyDescent="0.3">
      <c r="A763" s="2">
        <v>30.700614421202971</v>
      </c>
      <c r="B763" s="2">
        <v>28.080013510741342</v>
      </c>
      <c r="C763" s="2">
        <v>29.073039852347101</v>
      </c>
      <c r="AN763" s="3">
        <f t="shared" si="46"/>
        <v>7.8840700258755083</v>
      </c>
      <c r="AO763" s="3">
        <f t="shared" si="47"/>
        <v>0.8543456272463511</v>
      </c>
    </row>
    <row r="764" spans="1:41" x14ac:dyDescent="0.3">
      <c r="A764" s="2">
        <v>12.236583011658229</v>
      </c>
      <c r="B764" s="2">
        <v>20.485044270444011</v>
      </c>
      <c r="C764" s="2">
        <v>31.948635450121699</v>
      </c>
      <c r="AN764" s="3">
        <f t="shared" si="46"/>
        <v>22.916428097839002</v>
      </c>
      <c r="AO764" s="3">
        <f t="shared" si="47"/>
        <v>3.8075225537662614</v>
      </c>
    </row>
    <row r="765" spans="1:41" x14ac:dyDescent="0.3">
      <c r="A765" s="2">
        <v>31.81160402783496</v>
      </c>
      <c r="B765" s="2">
        <v>16.349900991989038</v>
      </c>
      <c r="C765" s="2">
        <v>38.477534865800997</v>
      </c>
      <c r="AN765" s="3">
        <f t="shared" si="46"/>
        <v>79.606614646615299</v>
      </c>
      <c r="AO765" s="3">
        <f t="shared" si="47"/>
        <v>71.913568586872131</v>
      </c>
    </row>
    <row r="766" spans="1:41" x14ac:dyDescent="0.3">
      <c r="A766" s="2">
        <v>0.59518606654456818</v>
      </c>
      <c r="B766" s="2">
        <v>27.953838808258919</v>
      </c>
      <c r="C766" s="2">
        <v>24.835969688690358</v>
      </c>
      <c r="AN766" s="3">
        <f t="shared" si="46"/>
        <v>7.1914286296208401</v>
      </c>
      <c r="AO766" s="3">
        <f t="shared" si="47"/>
        <v>26.639826493655473</v>
      </c>
    </row>
    <row r="767" spans="1:41" x14ac:dyDescent="0.3">
      <c r="A767" s="2">
        <v>10.03671560349752</v>
      </c>
      <c r="B767" s="2">
        <v>23.00599966992695</v>
      </c>
      <c r="C767" s="2">
        <v>24.67358686265985</v>
      </c>
      <c r="AN767" s="3">
        <f t="shared" si="46"/>
        <v>5.1354594880790962</v>
      </c>
      <c r="AO767" s="3">
        <f t="shared" si="47"/>
        <v>28.342433081902563</v>
      </c>
    </row>
    <row r="768" spans="1:41" x14ac:dyDescent="0.3">
      <c r="A768" s="2">
        <v>20.29684246817294</v>
      </c>
      <c r="B768" s="2">
        <v>18.261886706484251</v>
      </c>
      <c r="C768" s="2">
        <v>26.549598079832549</v>
      </c>
      <c r="AN768" s="3">
        <f t="shared" si="46"/>
        <v>49.143860025275728</v>
      </c>
      <c r="AO768" s="3">
        <f t="shared" si="47"/>
        <v>11.886979793370722</v>
      </c>
    </row>
    <row r="769" spans="1:41" x14ac:dyDescent="0.3">
      <c r="A769" s="2">
        <v>2.1706397344330801</v>
      </c>
      <c r="B769" s="2">
        <v>23.981017978032831</v>
      </c>
      <c r="C769" s="2">
        <v>40.694785710650933</v>
      </c>
      <c r="AN769" s="3">
        <f t="shared" si="46"/>
        <v>1.6670345292128639</v>
      </c>
      <c r="AO769" s="3">
        <f t="shared" si="47"/>
        <v>114.43517270028475</v>
      </c>
    </row>
    <row r="770" spans="1:41" x14ac:dyDescent="0.3">
      <c r="A770" s="2">
        <v>11.409264420175401</v>
      </c>
      <c r="B770" s="2">
        <v>23.608793835678171</v>
      </c>
      <c r="C770" s="2">
        <v>19.79568072456556</v>
      </c>
      <c r="AN770" s="3">
        <f t="shared" si="46"/>
        <v>2.7667700018898742</v>
      </c>
      <c r="AO770" s="3">
        <f t="shared" si="47"/>
        <v>104.07401603118417</v>
      </c>
    </row>
    <row r="771" spans="1:41" x14ac:dyDescent="0.3">
      <c r="A771" s="2">
        <v>9.9236556131865701</v>
      </c>
      <c r="B771" s="2">
        <v>26.527687615694681</v>
      </c>
      <c r="C771" s="2">
        <v>30.588278127574021</v>
      </c>
      <c r="AN771" s="3">
        <f t="shared" ref="AN771:AN834" si="48">(B771-$AK$2)^2</f>
        <v>1.5763624216254948</v>
      </c>
      <c r="AO771" s="3">
        <f t="shared" ref="AO771:AO834" si="49">(C771-$AK$3)^2</f>
        <v>0.3491983674513825</v>
      </c>
    </row>
    <row r="772" spans="1:41" x14ac:dyDescent="0.3">
      <c r="A772" s="2">
        <v>11.402429211245501</v>
      </c>
      <c r="B772" s="2">
        <v>23.930450073019859</v>
      </c>
      <c r="C772" s="2">
        <v>23.382591917306041</v>
      </c>
      <c r="AN772" s="3">
        <f t="shared" si="48"/>
        <v>1.8001718198240653</v>
      </c>
      <c r="AO772" s="3">
        <f t="shared" si="49"/>
        <v>43.754998573338554</v>
      </c>
    </row>
    <row r="773" spans="1:41" x14ac:dyDescent="0.3">
      <c r="A773" s="2">
        <v>8.6956182165355322</v>
      </c>
      <c r="B773" s="2">
        <v>29.20942547595256</v>
      </c>
      <c r="C773" s="2">
        <v>36.96854583212977</v>
      </c>
      <c r="AN773" s="3">
        <f t="shared" si="48"/>
        <v>15.502099655514574</v>
      </c>
      <c r="AO773" s="3">
        <f t="shared" si="49"/>
        <v>48.597598645801313</v>
      </c>
    </row>
    <row r="774" spans="1:41" x14ac:dyDescent="0.3">
      <c r="A774" s="2">
        <v>0.68801850475328041</v>
      </c>
      <c r="B774" s="2">
        <v>21.96147604580678</v>
      </c>
      <c r="C774" s="2">
        <v>38.882170364576758</v>
      </c>
      <c r="AN774" s="3">
        <f t="shared" si="48"/>
        <v>10.960594419052219</v>
      </c>
      <c r="AO774" s="3">
        <f t="shared" si="49"/>
        <v>78.94006772503117</v>
      </c>
    </row>
    <row r="775" spans="1:41" x14ac:dyDescent="0.3">
      <c r="A775" s="2">
        <v>6.5579901306292756</v>
      </c>
      <c r="B775" s="2">
        <v>24.16619602031243</v>
      </c>
      <c r="C775" s="2">
        <v>34.123591396175293</v>
      </c>
      <c r="AN775" s="3">
        <f t="shared" si="48"/>
        <v>1.2231450246688311</v>
      </c>
      <c r="AO775" s="3">
        <f t="shared" si="49"/>
        <v>17.025884227755224</v>
      </c>
    </row>
    <row r="776" spans="1:41" x14ac:dyDescent="0.3">
      <c r="A776" s="2">
        <v>13.975496597936511</v>
      </c>
      <c r="B776" s="2">
        <v>24.697937275331839</v>
      </c>
      <c r="C776" s="2">
        <v>23.13771551527385</v>
      </c>
      <c r="AN776" s="3">
        <f t="shared" si="48"/>
        <v>0.32972587067129799</v>
      </c>
      <c r="AO776" s="3">
        <f t="shared" si="49"/>
        <v>47.05455838529538</v>
      </c>
    </row>
    <row r="777" spans="1:41" x14ac:dyDescent="0.3">
      <c r="A777" s="2">
        <v>41.936662517216348</v>
      </c>
      <c r="B777" s="2">
        <v>27.6718588805299</v>
      </c>
      <c r="C777" s="2">
        <v>29.492226999092171</v>
      </c>
      <c r="AN777" s="3">
        <f t="shared" si="48"/>
        <v>5.7585792351605418</v>
      </c>
      <c r="AO777" s="3">
        <f t="shared" si="49"/>
        <v>0.25514726677888272</v>
      </c>
    </row>
    <row r="778" spans="1:41" x14ac:dyDescent="0.3">
      <c r="A778" s="2">
        <v>8.3351769956086503</v>
      </c>
      <c r="B778" s="2">
        <v>34.533426868814267</v>
      </c>
      <c r="C778" s="2">
        <v>41.395270945457</v>
      </c>
      <c r="AN778" s="3">
        <f t="shared" si="48"/>
        <v>85.771158638537258</v>
      </c>
      <c r="AO778" s="3">
        <f t="shared" si="49"/>
        <v>129.91264654043965</v>
      </c>
    </row>
    <row r="779" spans="1:41" x14ac:dyDescent="0.3">
      <c r="A779" s="2">
        <v>4.1646827788134262</v>
      </c>
      <c r="B779" s="2">
        <v>14.1973475465195</v>
      </c>
      <c r="C779" s="2">
        <v>24.921917112731471</v>
      </c>
      <c r="AN779" s="3">
        <f t="shared" si="48"/>
        <v>122.65135772753626</v>
      </c>
      <c r="AO779" s="3">
        <f t="shared" si="49"/>
        <v>25.759999105623514</v>
      </c>
    </row>
    <row r="780" spans="1:41" x14ac:dyDescent="0.3">
      <c r="A780" s="2">
        <v>2.386851160715703</v>
      </c>
      <c r="B780" s="2">
        <v>17.714752190840031</v>
      </c>
      <c r="C780" s="2">
        <v>36.321997985277427</v>
      </c>
      <c r="AN780" s="3">
        <f t="shared" si="48"/>
        <v>57.114335579329968</v>
      </c>
      <c r="AO780" s="3">
        <f t="shared" si="49"/>
        <v>40.001196920142256</v>
      </c>
    </row>
    <row r="781" spans="1:41" x14ac:dyDescent="0.3">
      <c r="A781" s="2">
        <v>27.144934138466422</v>
      </c>
      <c r="B781" s="2">
        <v>30.017880381866359</v>
      </c>
      <c r="C781" s="2">
        <v>28.35463639776928</v>
      </c>
      <c r="AN781" s="3">
        <f t="shared" si="48"/>
        <v>22.521910430297719</v>
      </c>
      <c r="AO781" s="3">
        <f t="shared" si="49"/>
        <v>2.698501542158056</v>
      </c>
    </row>
    <row r="782" spans="1:41" x14ac:dyDescent="0.3">
      <c r="A782" s="2">
        <v>1.737644121842862</v>
      </c>
      <c r="B782" s="2">
        <v>33.920660144983529</v>
      </c>
      <c r="C782" s="2">
        <v>44.557413382991228</v>
      </c>
      <c r="AN782" s="3">
        <f t="shared" si="48"/>
        <v>74.79664312023327</v>
      </c>
      <c r="AO782" s="3">
        <f t="shared" si="49"/>
        <v>211.99550276879515</v>
      </c>
    </row>
    <row r="783" spans="1:41" x14ac:dyDescent="0.3">
      <c r="A783" s="2">
        <v>8.1776735947678318</v>
      </c>
      <c r="B783" s="2">
        <v>22.520935778814781</v>
      </c>
      <c r="C783" s="2">
        <v>31.40253679980443</v>
      </c>
      <c r="AN783" s="3">
        <f t="shared" si="48"/>
        <v>7.56920660578142</v>
      </c>
      <c r="AO783" s="3">
        <f t="shared" si="49"/>
        <v>1.974555448424397</v>
      </c>
    </row>
    <row r="784" spans="1:41" x14ac:dyDescent="0.3">
      <c r="A784" s="2">
        <v>11.68564265788433</v>
      </c>
      <c r="B784" s="2">
        <v>26.34111525439528</v>
      </c>
      <c r="C784" s="2">
        <v>32.525116653340092</v>
      </c>
      <c r="AN784" s="3">
        <f t="shared" si="48"/>
        <v>1.1426762575278624</v>
      </c>
      <c r="AO784" s="3">
        <f t="shared" si="49"/>
        <v>6.3896141585284463</v>
      </c>
    </row>
    <row r="785" spans="1:41" x14ac:dyDescent="0.3">
      <c r="A785" s="2">
        <v>0.11198422792954529</v>
      </c>
      <c r="B785" s="2">
        <v>19.869130126425681</v>
      </c>
      <c r="C785" s="2">
        <v>24.37277598908846</v>
      </c>
      <c r="AN785" s="3">
        <f t="shared" si="48"/>
        <v>29.192676611568416</v>
      </c>
      <c r="AO785" s="3">
        <f t="shared" si="49"/>
        <v>31.635810764926639</v>
      </c>
    </row>
    <row r="786" spans="1:41" x14ac:dyDescent="0.3">
      <c r="A786" s="2">
        <v>10.014244812893081</v>
      </c>
      <c r="B786" s="2">
        <v>39.628713430165291</v>
      </c>
      <c r="C786" s="2">
        <v>27.741103549801991</v>
      </c>
      <c r="AN786" s="3">
        <f t="shared" si="48"/>
        <v>206.11077307528706</v>
      </c>
      <c r="AO786" s="3">
        <f t="shared" si="49"/>
        <v>5.0906392031717305</v>
      </c>
    </row>
    <row r="787" spans="1:41" x14ac:dyDescent="0.3">
      <c r="A787" s="2">
        <v>23.553058874267759</v>
      </c>
      <c r="B787" s="2">
        <v>18.885129874853021</v>
      </c>
      <c r="C787" s="2">
        <v>32.136656910910467</v>
      </c>
      <c r="AN787" s="3">
        <f t="shared" si="48"/>
        <v>40.794088562756585</v>
      </c>
      <c r="AO787" s="3">
        <f t="shared" si="49"/>
        <v>4.5766424417211242</v>
      </c>
    </row>
    <row r="788" spans="1:41" x14ac:dyDescent="0.3">
      <c r="A788" s="2">
        <v>5.767493027623888</v>
      </c>
      <c r="B788" s="2">
        <v>24.425027279414191</v>
      </c>
      <c r="C788" s="2">
        <v>32.449391798740358</v>
      </c>
      <c r="AN788" s="3">
        <f t="shared" si="48"/>
        <v>0.71762519108953349</v>
      </c>
      <c r="AO788" s="3">
        <f t="shared" si="49"/>
        <v>6.0125185908402878</v>
      </c>
    </row>
    <row r="789" spans="1:41" x14ac:dyDescent="0.3">
      <c r="A789" s="2">
        <v>2.0541539620550342</v>
      </c>
      <c r="B789" s="2">
        <v>25.707129952886191</v>
      </c>
      <c r="C789" s="2">
        <v>26.555179240759369</v>
      </c>
      <c r="AN789" s="3">
        <f t="shared" si="48"/>
        <v>0.18920330406318139</v>
      </c>
      <c r="AO789" s="3">
        <f t="shared" si="49"/>
        <v>11.84852604799279</v>
      </c>
    </row>
    <row r="790" spans="1:41" x14ac:dyDescent="0.3">
      <c r="A790" s="2">
        <v>5.0938062480643964</v>
      </c>
      <c r="B790" s="2">
        <v>21.13639238122683</v>
      </c>
      <c r="C790" s="2">
        <v>24.985189917178332</v>
      </c>
      <c r="AN790" s="3">
        <f t="shared" si="48"/>
        <v>17.104531541045773</v>
      </c>
      <c r="AO790" s="3">
        <f t="shared" si="49"/>
        <v>25.121729056215269</v>
      </c>
    </row>
    <row r="791" spans="1:41" x14ac:dyDescent="0.3">
      <c r="A791" s="2">
        <v>21.29065228734429</v>
      </c>
      <c r="B791" s="2">
        <v>36.232394055262688</v>
      </c>
      <c r="C791" s="2">
        <v>38.717838842496107</v>
      </c>
      <c r="AN791" s="3">
        <f t="shared" si="48"/>
        <v>120.1268425277659</v>
      </c>
      <c r="AO791" s="3">
        <f t="shared" si="49"/>
        <v>76.046959822416682</v>
      </c>
    </row>
    <row r="792" spans="1:41" x14ac:dyDescent="0.3">
      <c r="A792" s="2">
        <v>21.155664313691819</v>
      </c>
      <c r="B792" s="2">
        <v>22.91704886651895</v>
      </c>
      <c r="C792" s="2">
        <v>28.238161611697041</v>
      </c>
      <c r="AN792" s="3">
        <f t="shared" si="48"/>
        <v>5.5465243887111289</v>
      </c>
      <c r="AO792" s="3">
        <f t="shared" si="49"/>
        <v>3.0947368923500513</v>
      </c>
    </row>
    <row r="793" spans="1:41" x14ac:dyDescent="0.3">
      <c r="A793" s="2">
        <v>5.1385455354198708</v>
      </c>
      <c r="B793" s="2">
        <v>30.118052114942088</v>
      </c>
      <c r="C793" s="2">
        <v>27.301692481160249</v>
      </c>
      <c r="AN793" s="3">
        <f t="shared" si="48"/>
        <v>23.482719900556564</v>
      </c>
      <c r="AO793" s="3">
        <f t="shared" si="49"/>
        <v>7.2665588962320742</v>
      </c>
    </row>
    <row r="794" spans="1:41" x14ac:dyDescent="0.3">
      <c r="A794" s="2">
        <v>28.637996587903991</v>
      </c>
      <c r="B794" s="2">
        <v>22.12764032356846</v>
      </c>
      <c r="C794" s="2">
        <v>25.745630318578112</v>
      </c>
      <c r="AN794" s="3">
        <f t="shared" si="48"/>
        <v>9.8879718676787736</v>
      </c>
      <c r="AO794" s="3">
        <f t="shared" si="49"/>
        <v>18.077103589479929</v>
      </c>
    </row>
    <row r="795" spans="1:41" x14ac:dyDescent="0.3">
      <c r="A795" s="2">
        <v>5.4196010175146281</v>
      </c>
      <c r="B795" s="2">
        <v>27.33466922131128</v>
      </c>
      <c r="C795" s="2">
        <v>31.219179097293111</v>
      </c>
      <c r="AN795" s="3">
        <f t="shared" si="48"/>
        <v>4.2539653608440684</v>
      </c>
      <c r="AO795" s="3">
        <f t="shared" si="49"/>
        <v>1.4928711306041036</v>
      </c>
    </row>
    <row r="796" spans="1:41" x14ac:dyDescent="0.3">
      <c r="A796" s="2">
        <v>7.2771922100853796</v>
      </c>
      <c r="B796" s="2">
        <v>33.928942936459038</v>
      </c>
      <c r="C796" s="2">
        <v>32.419597191165721</v>
      </c>
      <c r="AN796" s="3">
        <f t="shared" si="48"/>
        <v>74.939979256047465</v>
      </c>
      <c r="AO796" s="3">
        <f t="shared" si="49"/>
        <v>5.867290946433644</v>
      </c>
    </row>
    <row r="797" spans="1:41" x14ac:dyDescent="0.3">
      <c r="A797" s="2">
        <v>0.69702883433039775</v>
      </c>
      <c r="B797" s="2">
        <v>36.380388131853543</v>
      </c>
      <c r="C797" s="2">
        <v>34.280741217113807</v>
      </c>
      <c r="AN797" s="3">
        <f t="shared" si="48"/>
        <v>123.39284572299584</v>
      </c>
      <c r="AO797" s="3">
        <f t="shared" si="49"/>
        <v>18.347457102867256</v>
      </c>
    </row>
    <row r="798" spans="1:41" x14ac:dyDescent="0.3">
      <c r="A798" s="2">
        <v>18.936531829470919</v>
      </c>
      <c r="B798" s="2">
        <v>22.30623130302369</v>
      </c>
      <c r="C798" s="2">
        <v>42.118587825137723</v>
      </c>
      <c r="AN798" s="3">
        <f t="shared" si="48"/>
        <v>8.7967027324397655</v>
      </c>
      <c r="AO798" s="3">
        <f t="shared" si="49"/>
        <v>146.9244539093425</v>
      </c>
    </row>
    <row r="799" spans="1:41" x14ac:dyDescent="0.3">
      <c r="A799" s="2">
        <v>5.9362903658869008</v>
      </c>
      <c r="B799" s="2">
        <v>18.423896658856641</v>
      </c>
      <c r="C799" s="2">
        <v>35.198785104127623</v>
      </c>
      <c r="AN799" s="3">
        <f t="shared" si="48"/>
        <v>46.898640820412396</v>
      </c>
      <c r="AO799" s="3">
        <f t="shared" si="49"/>
        <v>27.054947523728622</v>
      </c>
    </row>
    <row r="800" spans="1:41" x14ac:dyDescent="0.3">
      <c r="A800" s="2">
        <v>6.2893403013728533E-2</v>
      </c>
      <c r="B800" s="2">
        <v>30.945808781636661</v>
      </c>
      <c r="C800" s="2">
        <v>26.23821627565539</v>
      </c>
      <c r="AN800" s="3">
        <f t="shared" si="48"/>
        <v>32.190348465522789</v>
      </c>
      <c r="AO800" s="3">
        <f t="shared" si="49"/>
        <v>14.131071627740672</v>
      </c>
    </row>
    <row r="801" spans="1:41" x14ac:dyDescent="0.3">
      <c r="A801" s="2">
        <v>11.61007298572288</v>
      </c>
      <c r="B801" s="2">
        <v>25.39807150268587</v>
      </c>
      <c r="C801" s="2">
        <v>32.346519744492213</v>
      </c>
      <c r="AN801" s="3">
        <f t="shared" si="48"/>
        <v>1.5854992982740661E-2</v>
      </c>
      <c r="AO801" s="3">
        <f t="shared" si="49"/>
        <v>5.5186076934147756</v>
      </c>
    </row>
    <row r="802" spans="1:41" x14ac:dyDescent="0.3">
      <c r="A802" s="2">
        <v>1.1755861592119889</v>
      </c>
      <c r="B802" s="2">
        <v>28.317693126107422</v>
      </c>
      <c r="C802" s="2">
        <v>26.961519857071409</v>
      </c>
      <c r="AN802" s="3">
        <f t="shared" si="48"/>
        <v>9.2753031387025704</v>
      </c>
      <c r="AO802" s="3">
        <f t="shared" si="49"/>
        <v>9.2162527611381524</v>
      </c>
    </row>
    <row r="803" spans="1:41" x14ac:dyDescent="0.3">
      <c r="A803" s="2">
        <v>7.804755005057169</v>
      </c>
      <c r="B803" s="2">
        <v>27.287720318511969</v>
      </c>
      <c r="C803" s="2">
        <v>26.490612530482011</v>
      </c>
      <c r="AN803" s="3">
        <f t="shared" si="48"/>
        <v>4.0625039907293292</v>
      </c>
      <c r="AO803" s="3">
        <f t="shared" si="49"/>
        <v>12.297193939345167</v>
      </c>
    </row>
    <row r="804" spans="1:41" x14ac:dyDescent="0.3">
      <c r="A804" s="2">
        <v>24.428346609922471</v>
      </c>
      <c r="B804" s="2">
        <v>20.10640509514565</v>
      </c>
      <c r="C804" s="2">
        <v>31.718282701755971</v>
      </c>
      <c r="AN804" s="3">
        <f t="shared" si="48"/>
        <v>26.684970958116256</v>
      </c>
      <c r="AO804" s="3">
        <f t="shared" si="49"/>
        <v>2.9616161072698284</v>
      </c>
    </row>
    <row r="805" spans="1:41" x14ac:dyDescent="0.3">
      <c r="A805" s="2">
        <v>8.592561457754222E-2</v>
      </c>
      <c r="B805" s="2">
        <v>30.642137064490651</v>
      </c>
      <c r="C805" s="2">
        <v>36.662987883504883</v>
      </c>
      <c r="AN805" s="3">
        <f t="shared" si="48"/>
        <v>28.836708538672703</v>
      </c>
      <c r="AO805" s="3">
        <f t="shared" si="49"/>
        <v>44.430754512616758</v>
      </c>
    </row>
    <row r="806" spans="1:41" x14ac:dyDescent="0.3">
      <c r="A806" s="2">
        <v>19.723696677100449</v>
      </c>
      <c r="B806" s="2">
        <v>27.495405849896919</v>
      </c>
      <c r="C806" s="2">
        <v>29.390416385100149</v>
      </c>
      <c r="AN806" s="3">
        <f t="shared" si="48"/>
        <v>4.9428448241930418</v>
      </c>
      <c r="AO806" s="3">
        <f t="shared" si="49"/>
        <v>0.36836603469402351</v>
      </c>
    </row>
    <row r="807" spans="1:41" x14ac:dyDescent="0.3">
      <c r="A807" s="2">
        <v>8.0792033138756523</v>
      </c>
      <c r="B807" s="2">
        <v>28.647838879656941</v>
      </c>
      <c r="C807" s="2">
        <v>30.868179565361942</v>
      </c>
      <c r="AN807" s="3">
        <f t="shared" si="48"/>
        <v>11.395242388172795</v>
      </c>
      <c r="AO807" s="3">
        <f t="shared" si="49"/>
        <v>0.75834754416590944</v>
      </c>
    </row>
    <row r="808" spans="1:41" x14ac:dyDescent="0.3">
      <c r="A808" s="2">
        <v>8.2755304168494099</v>
      </c>
      <c r="B808" s="2">
        <v>27.500297562109559</v>
      </c>
      <c r="C808" s="2">
        <v>29.223821373073129</v>
      </c>
      <c r="AN808" s="3">
        <f t="shared" si="48"/>
        <v>4.9646197607717166</v>
      </c>
      <c r="AO808" s="3">
        <f t="shared" si="49"/>
        <v>0.59834350568904859</v>
      </c>
    </row>
    <row r="809" spans="1:41" x14ac:dyDescent="0.3">
      <c r="A809" s="2">
        <v>1.751134662225222</v>
      </c>
      <c r="B809" s="2">
        <v>30.256830179365028</v>
      </c>
      <c r="C809" s="2">
        <v>32.831295900884029</v>
      </c>
      <c r="AN809" s="3">
        <f t="shared" si="48"/>
        <v>24.846987725856376</v>
      </c>
      <c r="AO809" s="3">
        <f t="shared" si="49"/>
        <v>8.0312604736586888</v>
      </c>
    </row>
    <row r="810" spans="1:41" x14ac:dyDescent="0.3">
      <c r="A810" s="2">
        <v>7.9632915270822284</v>
      </c>
      <c r="B810" s="2">
        <v>19.274603936012131</v>
      </c>
      <c r="C810" s="2">
        <v>36.656622005592077</v>
      </c>
      <c r="AN810" s="3">
        <f t="shared" si="48"/>
        <v>35.970617463187274</v>
      </c>
      <c r="AO810" s="3">
        <f t="shared" si="49"/>
        <v>44.345929738119608</v>
      </c>
    </row>
    <row r="811" spans="1:41" x14ac:dyDescent="0.3">
      <c r="A811" s="2">
        <v>5.9386998194875584</v>
      </c>
      <c r="B811" s="2">
        <v>28.28805758070877</v>
      </c>
      <c r="C811" s="2">
        <v>33.742682800908291</v>
      </c>
      <c r="AN811" s="3">
        <f t="shared" si="48"/>
        <v>9.0956690310211705</v>
      </c>
      <c r="AO811" s="3">
        <f t="shared" si="49"/>
        <v>14.027532465254071</v>
      </c>
    </row>
    <row r="812" spans="1:41" x14ac:dyDescent="0.3">
      <c r="A812" s="2">
        <v>29.903295631699901</v>
      </c>
      <c r="B812" s="2">
        <v>25.28616486573047</v>
      </c>
      <c r="C812" s="2">
        <v>21.86374893815977</v>
      </c>
      <c r="AN812" s="3">
        <f t="shared" si="48"/>
        <v>1.9627937907412034E-4</v>
      </c>
      <c r="AO812" s="3">
        <f t="shared" si="49"/>
        <v>66.155434362516345</v>
      </c>
    </row>
    <row r="813" spans="1:41" x14ac:dyDescent="0.3">
      <c r="A813" s="2">
        <v>5.9515733289276973</v>
      </c>
      <c r="B813" s="2">
        <v>29.885676758870119</v>
      </c>
      <c r="C813" s="2">
        <v>21.79708129500219</v>
      </c>
      <c r="AN813" s="3">
        <f t="shared" si="48"/>
        <v>21.284584021076256</v>
      </c>
      <c r="AO813" s="3">
        <f t="shared" si="49"/>
        <v>67.244374702284162</v>
      </c>
    </row>
    <row r="814" spans="1:41" x14ac:dyDescent="0.3">
      <c r="A814" s="2">
        <v>3.6408073195467572</v>
      </c>
      <c r="B814" s="2">
        <v>28.920163348003491</v>
      </c>
      <c r="C814" s="2">
        <v>36.995337383501798</v>
      </c>
      <c r="AN814" s="3">
        <f t="shared" si="48"/>
        <v>13.307965699016705</v>
      </c>
      <c r="AO814" s="3">
        <f t="shared" si="49"/>
        <v>48.971854840528039</v>
      </c>
    </row>
    <row r="815" spans="1:41" x14ac:dyDescent="0.3">
      <c r="A815" s="2">
        <v>1.689127031031906</v>
      </c>
      <c r="B815" s="2">
        <v>27.853980170818321</v>
      </c>
      <c r="C815" s="2">
        <v>33.103122978068491</v>
      </c>
      <c r="AN815" s="3">
        <f t="shared" si="48"/>
        <v>6.6658217731364182</v>
      </c>
      <c r="AO815" s="3">
        <f t="shared" si="49"/>
        <v>9.6458379609473877</v>
      </c>
    </row>
    <row r="816" spans="1:41" x14ac:dyDescent="0.3">
      <c r="A816" s="2">
        <v>2.622473345479805</v>
      </c>
      <c r="B816" s="2">
        <v>25.477167928780901</v>
      </c>
      <c r="C816" s="2">
        <v>18.897468355864081</v>
      </c>
      <c r="AN816" s="3">
        <f t="shared" si="48"/>
        <v>4.2030345471758983E-2</v>
      </c>
      <c r="AO816" s="3">
        <f t="shared" si="49"/>
        <v>123.20732902011642</v>
      </c>
    </row>
    <row r="817" spans="1:41" x14ac:dyDescent="0.3">
      <c r="A817" s="2">
        <v>0.47000177006572252</v>
      </c>
      <c r="B817" s="2">
        <v>13.52252376656514</v>
      </c>
      <c r="C817" s="2">
        <v>38.387294026653628</v>
      </c>
      <c r="AN817" s="3">
        <f t="shared" si="48"/>
        <v>138.05383157108557</v>
      </c>
      <c r="AO817" s="3">
        <f t="shared" si="49"/>
        <v>70.391193645493559</v>
      </c>
    </row>
    <row r="818" spans="1:41" x14ac:dyDescent="0.3">
      <c r="A818" s="2">
        <v>6.8554702672888244</v>
      </c>
      <c r="B818" s="2">
        <v>25.852641468902629</v>
      </c>
      <c r="C818" s="2">
        <v>26.09210575558377</v>
      </c>
      <c r="AN818" s="3">
        <f t="shared" si="48"/>
        <v>0.33696466659167434</v>
      </c>
      <c r="AO818" s="3">
        <f t="shared" si="49"/>
        <v>15.250917306263155</v>
      </c>
    </row>
    <row r="819" spans="1:41" x14ac:dyDescent="0.3">
      <c r="A819" s="2">
        <v>4.3675505353226202E-2</v>
      </c>
      <c r="B819" s="2">
        <v>18.06353191984817</v>
      </c>
      <c r="C819" s="2">
        <v>29.433879073439201</v>
      </c>
      <c r="AN819" s="3">
        <f t="shared" si="48"/>
        <v>51.964245146842103</v>
      </c>
      <c r="AO819" s="3">
        <f t="shared" si="49"/>
        <v>0.31749727718185899</v>
      </c>
    </row>
    <row r="820" spans="1:41" x14ac:dyDescent="0.3">
      <c r="A820" s="2">
        <v>3.838909929450574</v>
      </c>
      <c r="B820" s="2">
        <v>17.638844528781171</v>
      </c>
      <c r="C820" s="2">
        <v>29.205250106058841</v>
      </c>
      <c r="AN820" s="3">
        <f t="shared" si="48"/>
        <v>58.267427092971886</v>
      </c>
      <c r="AO820" s="3">
        <f t="shared" si="49"/>
        <v>0.62741913822572626</v>
      </c>
    </row>
    <row r="821" spans="1:41" x14ac:dyDescent="0.3">
      <c r="A821" s="2">
        <v>8.3435892122388076</v>
      </c>
      <c r="B821" s="2">
        <v>25.155767262829691</v>
      </c>
      <c r="C821" s="2">
        <v>21.62605092645931</v>
      </c>
      <c r="AN821" s="3">
        <f t="shared" si="48"/>
        <v>1.3546080098062919E-2</v>
      </c>
      <c r="AO821" s="3">
        <f t="shared" si="49"/>
        <v>70.078615376616497</v>
      </c>
    </row>
    <row r="822" spans="1:41" x14ac:dyDescent="0.3">
      <c r="A822" s="2">
        <v>33.875602837164053</v>
      </c>
      <c r="B822" s="2">
        <v>24.518078821572761</v>
      </c>
      <c r="C822" s="2">
        <v>32.913427345111323</v>
      </c>
      <c r="AN822" s="3">
        <f t="shared" si="48"/>
        <v>0.56863071917578256</v>
      </c>
      <c r="AO822" s="3">
        <f t="shared" si="49"/>
        <v>8.50351850901618</v>
      </c>
    </row>
    <row r="823" spans="1:41" x14ac:dyDescent="0.3">
      <c r="A823" s="2">
        <v>9.5321588338953429</v>
      </c>
      <c r="B823" s="2">
        <v>28.52978154177395</v>
      </c>
      <c r="C823" s="2">
        <v>15.63870725401801</v>
      </c>
      <c r="AN823" s="3">
        <f t="shared" si="48"/>
        <v>10.612131392839149</v>
      </c>
      <c r="AO823" s="3">
        <f t="shared" si="49"/>
        <v>206.1705652439212</v>
      </c>
    </row>
    <row r="824" spans="1:41" x14ac:dyDescent="0.3">
      <c r="A824" s="2">
        <v>2.004389509004088</v>
      </c>
      <c r="B824" s="2">
        <v>13.727865281572679</v>
      </c>
      <c r="C824" s="2">
        <v>24.928414632295759</v>
      </c>
      <c r="AN824" s="3">
        <f t="shared" si="48"/>
        <v>133.27062259694009</v>
      </c>
      <c r="AO824" s="3">
        <f t="shared" si="49"/>
        <v>25.69408589987933</v>
      </c>
    </row>
    <row r="825" spans="1:41" x14ac:dyDescent="0.3">
      <c r="A825" s="2">
        <v>26.508898907341791</v>
      </c>
      <c r="B825" s="2">
        <v>24.03885545224388</v>
      </c>
      <c r="C825" s="2">
        <v>33.949154588318358</v>
      </c>
      <c r="AN825" s="3">
        <f t="shared" si="48"/>
        <v>1.5210275067694861</v>
      </c>
      <c r="AO825" s="3">
        <f t="shared" si="49"/>
        <v>15.616774988986425</v>
      </c>
    </row>
    <row r="826" spans="1:41" x14ac:dyDescent="0.3">
      <c r="A826" s="2">
        <v>7.8199678536694943</v>
      </c>
      <c r="B826" s="2">
        <v>26.265660587732381</v>
      </c>
      <c r="C826" s="2">
        <v>26.743250620007291</v>
      </c>
      <c r="AN826" s="3">
        <f t="shared" si="48"/>
        <v>0.98705356852672377</v>
      </c>
      <c r="AO826" s="3">
        <f t="shared" si="49"/>
        <v>10.589150024028315</v>
      </c>
    </row>
    <row r="827" spans="1:41" x14ac:dyDescent="0.3">
      <c r="A827" s="2">
        <v>6.9120698634505828</v>
      </c>
      <c r="B827" s="2">
        <v>32.008448936080747</v>
      </c>
      <c r="C827" s="2">
        <v>34.447354304844382</v>
      </c>
      <c r="AN827" s="3">
        <f t="shared" si="48"/>
        <v>45.377657455600101</v>
      </c>
      <c r="AO827" s="3">
        <f t="shared" si="49"/>
        <v>19.802555750008857</v>
      </c>
    </row>
    <row r="828" spans="1:41" x14ac:dyDescent="0.3">
      <c r="A828" s="2">
        <v>2.18937079443111</v>
      </c>
      <c r="B828" s="2">
        <v>25.54875030324213</v>
      </c>
      <c r="C828" s="2">
        <v>34.783774165734307</v>
      </c>
      <c r="AN828" s="3">
        <f t="shared" si="48"/>
        <v>7.650502181922017E-2</v>
      </c>
      <c r="AO828" s="3">
        <f t="shared" si="49"/>
        <v>22.909875049426354</v>
      </c>
    </row>
    <row r="829" spans="1:41" x14ac:dyDescent="0.3">
      <c r="A829" s="2">
        <v>8.0047289525222034</v>
      </c>
      <c r="B829" s="2">
        <v>27.144401834836351</v>
      </c>
      <c r="C829" s="2">
        <v>32.341647472195902</v>
      </c>
      <c r="AN829" s="3">
        <f t="shared" si="48"/>
        <v>3.505308616984081</v>
      </c>
      <c r="AO829" s="3">
        <f t="shared" si="49"/>
        <v>5.4957398240297799</v>
      </c>
    </row>
    <row r="830" spans="1:41" x14ac:dyDescent="0.3">
      <c r="A830" s="2">
        <v>2.4725063376451542</v>
      </c>
      <c r="B830" s="2">
        <v>25.619889982972531</v>
      </c>
      <c r="C830" s="2">
        <v>30.910512881661351</v>
      </c>
      <c r="AN830" s="3">
        <f t="shared" si="48"/>
        <v>0.12091969386959771</v>
      </c>
      <c r="AO830" s="3">
        <f t="shared" si="49"/>
        <v>0.83387002658012843</v>
      </c>
    </row>
    <row r="831" spans="1:41" x14ac:dyDescent="0.3">
      <c r="A831" s="2">
        <v>22.48351513574481</v>
      </c>
      <c r="B831" s="2">
        <v>32.009406902350968</v>
      </c>
      <c r="C831" s="2">
        <v>33.942742714942753</v>
      </c>
      <c r="AN831" s="3">
        <f t="shared" si="48"/>
        <v>45.390564658261546</v>
      </c>
      <c r="AO831" s="3">
        <f t="shared" si="49"/>
        <v>15.5661391347315</v>
      </c>
    </row>
    <row r="832" spans="1:41" x14ac:dyDescent="0.3">
      <c r="A832" s="2">
        <v>9.8567950948613028</v>
      </c>
      <c r="B832" s="2">
        <v>20.81517257667209</v>
      </c>
      <c r="C832" s="2">
        <v>22.571933581389391</v>
      </c>
      <c r="AN832" s="3">
        <f t="shared" si="48"/>
        <v>19.864691354327459</v>
      </c>
      <c r="AO832" s="3">
        <f t="shared" si="49"/>
        <v>55.136779894066485</v>
      </c>
    </row>
    <row r="833" spans="1:41" x14ac:dyDescent="0.3">
      <c r="A833" s="2">
        <v>4.3513738045714074</v>
      </c>
      <c r="B833" s="2">
        <v>32.315782550354797</v>
      </c>
      <c r="C833" s="2">
        <v>25.203823416549621</v>
      </c>
      <c r="AN833" s="3">
        <f t="shared" si="48"/>
        <v>49.612690597155286</v>
      </c>
      <c r="AO833" s="3">
        <f t="shared" si="49"/>
        <v>22.97787832332207</v>
      </c>
    </row>
    <row r="834" spans="1:41" x14ac:dyDescent="0.3">
      <c r="A834" s="2">
        <v>1.6072535196708531</v>
      </c>
      <c r="B834" s="2">
        <v>24.2426044468478</v>
      </c>
      <c r="C834" s="2">
        <v>32.527899613427003</v>
      </c>
      <c r="AN834" s="3">
        <f t="shared" si="48"/>
        <v>1.0599741180000848</v>
      </c>
      <c r="AO834" s="3">
        <f t="shared" si="49"/>
        <v>6.4036912617105672</v>
      </c>
    </row>
    <row r="835" spans="1:41" x14ac:dyDescent="0.3">
      <c r="A835" s="2">
        <v>4.7578932218337693</v>
      </c>
      <c r="B835" s="2">
        <v>23.395020265813091</v>
      </c>
      <c r="C835" s="2">
        <v>31.42171682811987</v>
      </c>
      <c r="AN835" s="3">
        <f t="shared" ref="AN835:AN898" si="50">(B835-$AK$2)^2</f>
        <v>3.5236344028005648</v>
      </c>
      <c r="AO835" s="3">
        <f t="shared" ref="AO835:AO898" si="51">(C835-$AK$3)^2</f>
        <v>2.0288264422829529</v>
      </c>
    </row>
    <row r="836" spans="1:41" x14ac:dyDescent="0.3">
      <c r="A836" s="2">
        <v>2.2574035734581628</v>
      </c>
      <c r="B836" s="2">
        <v>18.837687108325799</v>
      </c>
      <c r="C836" s="2">
        <v>31.196348838922411</v>
      </c>
      <c r="AN836" s="3">
        <f t="shared" si="50"/>
        <v>41.402375652185121</v>
      </c>
      <c r="AO836" s="3">
        <f t="shared" si="51"/>
        <v>1.4376029138913409</v>
      </c>
    </row>
    <row r="837" spans="1:41" x14ac:dyDescent="0.3">
      <c r="A837" s="2">
        <v>1.249201889592702</v>
      </c>
      <c r="B837" s="2">
        <v>33.092608299655687</v>
      </c>
      <c r="C837" s="2">
        <v>39.260009958048713</v>
      </c>
      <c r="AN837" s="3">
        <f t="shared" si="50"/>
        <v>61.159491509767854</v>
      </c>
      <c r="AO837" s="3">
        <f t="shared" si="51"/>
        <v>85.796905793196771</v>
      </c>
    </row>
    <row r="838" spans="1:41" x14ac:dyDescent="0.3">
      <c r="A838" s="2">
        <v>6.5313095983583844</v>
      </c>
      <c r="B838" s="2">
        <v>26.056149163464749</v>
      </c>
      <c r="C838" s="2">
        <v>37.015145262060059</v>
      </c>
      <c r="AN838" s="3">
        <f t="shared" si="50"/>
        <v>0.61464701853708958</v>
      </c>
      <c r="AO838" s="3">
        <f t="shared" si="51"/>
        <v>49.249477838685387</v>
      </c>
    </row>
    <row r="839" spans="1:41" x14ac:dyDescent="0.3">
      <c r="A839" s="2">
        <v>0.73176314139643706</v>
      </c>
      <c r="B839" s="2">
        <v>23.734892810950139</v>
      </c>
      <c r="C839" s="2">
        <v>28.92057711347752</v>
      </c>
      <c r="AN839" s="3">
        <f t="shared" si="50"/>
        <v>2.3631747041718709</v>
      </c>
      <c r="AO839" s="3">
        <f t="shared" si="51"/>
        <v>1.1594356299330533</v>
      </c>
    </row>
    <row r="840" spans="1:41" x14ac:dyDescent="0.3">
      <c r="A840" s="2">
        <v>28.37423495546815</v>
      </c>
      <c r="B840" s="2">
        <v>32.454416194051177</v>
      </c>
      <c r="C840" s="2">
        <v>37.793837907987083</v>
      </c>
      <c r="AN840" s="3">
        <f t="shared" si="50"/>
        <v>51.584877418706348</v>
      </c>
      <c r="AO840" s="3">
        <f t="shared" si="51"/>
        <v>60.785254249106394</v>
      </c>
    </row>
    <row r="841" spans="1:41" x14ac:dyDescent="0.3">
      <c r="A841" s="2">
        <v>8.6786301011688689</v>
      </c>
      <c r="B841" s="2">
        <v>27.839300051062072</v>
      </c>
      <c r="C841" s="2">
        <v>28.13420146872091</v>
      </c>
      <c r="AN841" s="3">
        <f t="shared" si="50"/>
        <v>6.5902342704710746</v>
      </c>
      <c r="AO841" s="3">
        <f t="shared" si="51"/>
        <v>3.4713151490606888</v>
      </c>
    </row>
    <row r="842" spans="1:41" x14ac:dyDescent="0.3">
      <c r="A842" s="2">
        <v>6.3957749777848596</v>
      </c>
      <c r="B842" s="2">
        <v>26.23544877866393</v>
      </c>
      <c r="C842" s="2">
        <v>31.106717358151979</v>
      </c>
      <c r="AN842" s="3">
        <f t="shared" si="50"/>
        <v>0.92793511312548116</v>
      </c>
      <c r="AO842" s="3">
        <f t="shared" si="51"/>
        <v>1.2307002822756692</v>
      </c>
    </row>
    <row r="843" spans="1:41" x14ac:dyDescent="0.3">
      <c r="A843" s="2">
        <v>6.033028431266775</v>
      </c>
      <c r="B843" s="2">
        <v>27.211293329003482</v>
      </c>
      <c r="C843" s="2">
        <v>33.240837351635903</v>
      </c>
      <c r="AN843" s="3">
        <f t="shared" si="50"/>
        <v>3.760257879960637</v>
      </c>
      <c r="AO843" s="3">
        <f t="shared" si="51"/>
        <v>10.520222909488266</v>
      </c>
    </row>
    <row r="844" spans="1:41" x14ac:dyDescent="0.3">
      <c r="A844" s="2">
        <v>4.074509640269075</v>
      </c>
      <c r="B844" s="2">
        <v>32.977058888588559</v>
      </c>
      <c r="C844" s="2">
        <v>27.65357599380005</v>
      </c>
      <c r="AN844" s="3">
        <f t="shared" si="50"/>
        <v>59.365545604975829</v>
      </c>
      <c r="AO844" s="3">
        <f t="shared" si="51"/>
        <v>5.4932674083117012</v>
      </c>
    </row>
    <row r="845" spans="1:41" x14ac:dyDescent="0.3">
      <c r="A845" s="2">
        <v>5.1084930638408572</v>
      </c>
      <c r="B845" s="2">
        <v>25.35688732764519</v>
      </c>
      <c r="C845" s="2">
        <v>19.708552928815958</v>
      </c>
      <c r="AN845" s="3">
        <f t="shared" si="50"/>
        <v>7.1795857419673032E-3</v>
      </c>
      <c r="AO845" s="3">
        <f t="shared" si="51"/>
        <v>105.85930485644538</v>
      </c>
    </row>
    <row r="846" spans="1:41" x14ac:dyDescent="0.3">
      <c r="A846" s="2">
        <v>3.666715789055579</v>
      </c>
      <c r="B846" s="2">
        <v>25.80152431765147</v>
      </c>
      <c r="C846" s="2">
        <v>31.0735545786739</v>
      </c>
      <c r="AN846" s="3">
        <f t="shared" si="50"/>
        <v>0.28023198938684912</v>
      </c>
      <c r="AO846" s="3">
        <f t="shared" si="51"/>
        <v>1.1582205121563878</v>
      </c>
    </row>
    <row r="847" spans="1:41" x14ac:dyDescent="0.3">
      <c r="A847" s="2">
        <v>3.2159689782436431</v>
      </c>
      <c r="B847" s="2">
        <v>34.183429150326248</v>
      </c>
      <c r="C847" s="2">
        <v>38.244868408495392</v>
      </c>
      <c r="AN847" s="3">
        <f t="shared" si="50"/>
        <v>79.410808916741672</v>
      </c>
      <c r="AO847" s="3">
        <f t="shared" si="51"/>
        <v>68.021592215503304</v>
      </c>
    </row>
    <row r="848" spans="1:41" x14ac:dyDescent="0.3">
      <c r="A848" s="2">
        <v>4.6422083060129964</v>
      </c>
      <c r="B848" s="2">
        <v>20.56705615630252</v>
      </c>
      <c r="C848" s="2">
        <v>36.602010677562667</v>
      </c>
      <c r="AN848" s="3">
        <f t="shared" si="50"/>
        <v>22.137954107575514</v>
      </c>
      <c r="AO848" s="3">
        <f t="shared" si="51"/>
        <v>43.621568545411122</v>
      </c>
    </row>
    <row r="849" spans="1:41" x14ac:dyDescent="0.3">
      <c r="A849" s="2">
        <v>12.121361981365061</v>
      </c>
      <c r="B849" s="2">
        <v>28.727872432353919</v>
      </c>
      <c r="C849" s="2">
        <v>27.875417679027009</v>
      </c>
      <c r="AN849" s="3">
        <f t="shared" si="50"/>
        <v>11.941983722445592</v>
      </c>
      <c r="AO849" s="3">
        <f t="shared" si="51"/>
        <v>4.5025884602261561</v>
      </c>
    </row>
    <row r="850" spans="1:41" x14ac:dyDescent="0.3">
      <c r="A850" s="2">
        <v>6.4893017861718292</v>
      </c>
      <c r="B850" s="2">
        <v>22.50205562146855</v>
      </c>
      <c r="C850" s="2">
        <v>27.22868280999986</v>
      </c>
      <c r="AN850" s="3">
        <f t="shared" si="50"/>
        <v>7.6734499656042203</v>
      </c>
      <c r="AO850" s="3">
        <f t="shared" si="51"/>
        <v>7.6655071602573814</v>
      </c>
    </row>
    <row r="851" spans="1:41" x14ac:dyDescent="0.3">
      <c r="A851" s="2">
        <v>7.7663402935010808</v>
      </c>
      <c r="B851" s="2">
        <v>25.900949635918259</v>
      </c>
      <c r="C851" s="2">
        <v>31.59609205526235</v>
      </c>
      <c r="AN851" s="3">
        <f t="shared" si="50"/>
        <v>0.39538283065899588</v>
      </c>
      <c r="AO851" s="3">
        <f t="shared" si="51"/>
        <v>2.555982423770073</v>
      </c>
    </row>
    <row r="852" spans="1:41" x14ac:dyDescent="0.3">
      <c r="A852" s="2">
        <v>25.867685271358031</v>
      </c>
      <c r="B852" s="2">
        <v>19.944776093222529</v>
      </c>
      <c r="C852" s="2">
        <v>31.465172420366141</v>
      </c>
      <c r="AN852" s="3">
        <f t="shared" si="50"/>
        <v>28.380964859904456</v>
      </c>
      <c r="AO852" s="3">
        <f t="shared" si="51"/>
        <v>2.1545084092403557</v>
      </c>
    </row>
    <row r="853" spans="1:41" x14ac:dyDescent="0.3">
      <c r="A853" s="2">
        <v>0.17273993480589919</v>
      </c>
      <c r="B853" s="2">
        <v>31.584118572067801</v>
      </c>
      <c r="C853" s="2">
        <v>26.435295948915289</v>
      </c>
      <c r="AN853" s="3">
        <f t="shared" si="50"/>
        <v>39.840885505318688</v>
      </c>
      <c r="AO853" s="3">
        <f t="shared" si="51"/>
        <v>12.688215105320557</v>
      </c>
    </row>
    <row r="854" spans="1:41" x14ac:dyDescent="0.3">
      <c r="A854" s="2">
        <v>54.282716138587112</v>
      </c>
      <c r="B854" s="2">
        <v>25.641106301462301</v>
      </c>
      <c r="C854" s="2">
        <v>29.746932301542319</v>
      </c>
      <c r="AN854" s="3">
        <f t="shared" si="50"/>
        <v>0.13612514294307829</v>
      </c>
      <c r="AO854" s="3">
        <f t="shared" si="51"/>
        <v>6.2708042469398831E-2</v>
      </c>
    </row>
    <row r="855" spans="1:41" x14ac:dyDescent="0.3">
      <c r="A855" s="2">
        <v>2.1030608834308779</v>
      </c>
      <c r="B855" s="2">
        <v>36.753098404244056</v>
      </c>
      <c r="C855" s="2">
        <v>29.66964525190593</v>
      </c>
      <c r="AN855" s="3">
        <f t="shared" si="50"/>
        <v>131.8120639437505</v>
      </c>
      <c r="AO855" s="3">
        <f t="shared" si="51"/>
        <v>0.1073891178508203</v>
      </c>
    </row>
    <row r="856" spans="1:41" x14ac:dyDescent="0.3">
      <c r="A856" s="2">
        <v>25.49930503505934</v>
      </c>
      <c r="B856" s="2">
        <v>24.710243900410919</v>
      </c>
      <c r="C856" s="2">
        <v>28.23619631764862</v>
      </c>
      <c r="AN856" s="3">
        <f t="shared" si="50"/>
        <v>0.31574396186116266</v>
      </c>
      <c r="AO856" s="3">
        <f t="shared" si="51"/>
        <v>3.101655391969119</v>
      </c>
    </row>
    <row r="857" spans="1:41" x14ac:dyDescent="0.3">
      <c r="A857" s="2">
        <v>8.6232088473646602</v>
      </c>
      <c r="B857" s="2">
        <v>30.202744034540231</v>
      </c>
      <c r="C857" s="2">
        <v>31.308858658366741</v>
      </c>
      <c r="AN857" s="3">
        <f t="shared" si="50"/>
        <v>24.310709297865891</v>
      </c>
      <c r="AO857" s="3">
        <f t="shared" si="51"/>
        <v>1.7200600999828162</v>
      </c>
    </row>
    <row r="858" spans="1:41" x14ac:dyDescent="0.3">
      <c r="A858" s="2">
        <v>7.3438404151941574</v>
      </c>
      <c r="B858" s="2">
        <v>21.71719691988072</v>
      </c>
      <c r="C858" s="2">
        <v>27.5645205264906</v>
      </c>
      <c r="AN858" s="3">
        <f t="shared" si="50"/>
        <v>12.637726179691287</v>
      </c>
      <c r="AO858" s="3">
        <f t="shared" si="51"/>
        <v>5.9186497143947259</v>
      </c>
    </row>
    <row r="859" spans="1:41" x14ac:dyDescent="0.3">
      <c r="A859" s="2">
        <v>33.902978101985617</v>
      </c>
      <c r="B859" s="2">
        <v>25.674167764415969</v>
      </c>
      <c r="C859" s="2">
        <v>32.319459530815912</v>
      </c>
      <c r="AN859" s="3">
        <f t="shared" si="50"/>
        <v>0.16161435002273974</v>
      </c>
      <c r="AO859" s="3">
        <f t="shared" si="51"/>
        <v>5.3922017720506776</v>
      </c>
    </row>
    <row r="860" spans="1:41" x14ac:dyDescent="0.3">
      <c r="A860" s="2">
        <v>1.3739714897447859</v>
      </c>
      <c r="B860" s="2">
        <v>25.631255187921379</v>
      </c>
      <c r="C860" s="2">
        <v>21.707844100998742</v>
      </c>
      <c r="AN860" s="3">
        <f t="shared" si="50"/>
        <v>0.12895302291903221</v>
      </c>
      <c r="AO860" s="3">
        <f t="shared" si="51"/>
        <v>68.715875568027855</v>
      </c>
    </row>
    <row r="861" spans="1:41" x14ac:dyDescent="0.3">
      <c r="A861" s="2">
        <v>20.444014359842519</v>
      </c>
      <c r="B861" s="2">
        <v>25.927223530764429</v>
      </c>
      <c r="C861" s="2">
        <v>28.77362184917272</v>
      </c>
      <c r="AN861" s="3">
        <f t="shared" si="50"/>
        <v>0.42911492220085301</v>
      </c>
      <c r="AO861" s="3">
        <f t="shared" si="51"/>
        <v>1.4975057920815851</v>
      </c>
    </row>
    <row r="862" spans="1:41" x14ac:dyDescent="0.3">
      <c r="A862" s="2">
        <v>12.686242167125229</v>
      </c>
      <c r="B862" s="2">
        <v>27.218656065884399</v>
      </c>
      <c r="C862" s="2">
        <v>25.371743252171921</v>
      </c>
      <c r="AN862" s="3">
        <f t="shared" si="50"/>
        <v>3.7888668220376354</v>
      </c>
      <c r="AO862" s="3">
        <f t="shared" si="51"/>
        <v>21.396219660605393</v>
      </c>
    </row>
    <row r="863" spans="1:41" x14ac:dyDescent="0.3">
      <c r="A863" s="2">
        <v>7.1701158766081079</v>
      </c>
      <c r="B863" s="2">
        <v>23.786614690616979</v>
      </c>
      <c r="C863" s="2">
        <v>31.887043963027882</v>
      </c>
      <c r="AN863" s="3">
        <f t="shared" si="50"/>
        <v>2.2068296883191443</v>
      </c>
      <c r="AO863" s="3">
        <f t="shared" si="51"/>
        <v>3.5709506784739076</v>
      </c>
    </row>
    <row r="864" spans="1:41" x14ac:dyDescent="0.3">
      <c r="A864" s="2">
        <v>8.776105075630479</v>
      </c>
      <c r="B864" s="2">
        <v>30.79706445864144</v>
      </c>
      <c r="C864" s="2">
        <v>24.60837288763226</v>
      </c>
      <c r="AN864" s="3">
        <f t="shared" si="50"/>
        <v>30.524625725538883</v>
      </c>
      <c r="AO864" s="3">
        <f t="shared" si="51"/>
        <v>29.041053201489998</v>
      </c>
    </row>
    <row r="865" spans="1:41" x14ac:dyDescent="0.3">
      <c r="A865" s="2">
        <v>9.7929571449594448</v>
      </c>
      <c r="B865" s="2">
        <v>26.002700777927689</v>
      </c>
      <c r="C865" s="2">
        <v>28.37161412070855</v>
      </c>
      <c r="AN865" s="3">
        <f t="shared" si="50"/>
        <v>0.53369729223563855</v>
      </c>
      <c r="AO865" s="3">
        <f t="shared" si="51"/>
        <v>2.6430107789451847</v>
      </c>
    </row>
    <row r="866" spans="1:41" x14ac:dyDescent="0.3">
      <c r="A866" s="2">
        <v>35.478647487973738</v>
      </c>
      <c r="B866" s="2">
        <v>23.86674843143</v>
      </c>
      <c r="C866" s="2">
        <v>29.703987983836431</v>
      </c>
      <c r="AN866" s="3">
        <f t="shared" si="50"/>
        <v>1.9751673178925606</v>
      </c>
      <c r="AO866" s="3">
        <f t="shared" si="51"/>
        <v>8.6060123023341636E-2</v>
      </c>
    </row>
    <row r="867" spans="1:41" x14ac:dyDescent="0.3">
      <c r="A867" s="2">
        <v>2.988758155056499</v>
      </c>
      <c r="B867" s="2">
        <v>27.218259203359491</v>
      </c>
      <c r="C867" s="2">
        <v>34.757092238990481</v>
      </c>
      <c r="AN867" s="3">
        <f t="shared" si="50"/>
        <v>3.7873219927958592</v>
      </c>
      <c r="AO867" s="3">
        <f t="shared" si="51"/>
        <v>22.655164832180798</v>
      </c>
    </row>
    <row r="868" spans="1:41" x14ac:dyDescent="0.3">
      <c r="A868" s="2">
        <v>11.79675918795397</v>
      </c>
      <c r="B868" s="2">
        <v>20.201433402862751</v>
      </c>
      <c r="C868" s="2">
        <v>24.487914669098171</v>
      </c>
      <c r="AN868" s="3">
        <f t="shared" si="50"/>
        <v>25.712216414916512</v>
      </c>
      <c r="AO868" s="3">
        <f t="shared" si="51"/>
        <v>30.353856077253209</v>
      </c>
    </row>
    <row r="869" spans="1:41" x14ac:dyDescent="0.3">
      <c r="A869" s="2">
        <v>0.12840211413483049</v>
      </c>
      <c r="B869" s="2">
        <v>26.816282539709611</v>
      </c>
      <c r="C869" s="2">
        <v>34.708528675360469</v>
      </c>
      <c r="AN869" s="3">
        <f t="shared" si="50"/>
        <v>2.3843301940905173</v>
      </c>
      <c r="AO869" s="3">
        <f t="shared" si="51"/>
        <v>22.195222971430717</v>
      </c>
    </row>
    <row r="870" spans="1:41" x14ac:dyDescent="0.3">
      <c r="A870" s="2">
        <v>5.2496294450264323</v>
      </c>
      <c r="B870" s="2">
        <v>20.952488051104162</v>
      </c>
      <c r="C870" s="2">
        <v>28.603376943389382</v>
      </c>
      <c r="AN870" s="3">
        <f t="shared" si="50"/>
        <v>18.659521611665202</v>
      </c>
      <c r="AO870" s="3">
        <f t="shared" si="51"/>
        <v>1.9431554204241133</v>
      </c>
    </row>
    <row r="871" spans="1:41" x14ac:dyDescent="0.3">
      <c r="A871" s="2">
        <v>2.676220459241323</v>
      </c>
      <c r="B871" s="2">
        <v>29.446451244904011</v>
      </c>
      <c r="C871" s="2">
        <v>33.225971820797803</v>
      </c>
      <c r="AN871" s="3">
        <f t="shared" si="50"/>
        <v>17.42475004638041</v>
      </c>
      <c r="AO871" s="3">
        <f t="shared" si="51"/>
        <v>10.424011512748887</v>
      </c>
    </row>
    <row r="872" spans="1:41" x14ac:dyDescent="0.3">
      <c r="A872" s="2">
        <v>8.3251074301950148</v>
      </c>
      <c r="B872" s="2">
        <v>38.439888884419581</v>
      </c>
      <c r="C872" s="2">
        <v>23.973488391708791</v>
      </c>
      <c r="AN872" s="3">
        <f t="shared" si="50"/>
        <v>173.38921850935728</v>
      </c>
      <c r="AO872" s="3">
        <f t="shared" si="51"/>
        <v>36.286885071983612</v>
      </c>
    </row>
    <row r="873" spans="1:41" x14ac:dyDescent="0.3">
      <c r="A873" s="2">
        <v>2.4186911691878699</v>
      </c>
      <c r="B873" s="2">
        <v>21.707477527077721</v>
      </c>
      <c r="C873" s="2">
        <v>26.445579598704541</v>
      </c>
      <c r="AN873" s="3">
        <f t="shared" si="50"/>
        <v>12.706924712135603</v>
      </c>
      <c r="AO873" s="3">
        <f t="shared" si="51"/>
        <v>12.615059066285463</v>
      </c>
    </row>
    <row r="874" spans="1:41" x14ac:dyDescent="0.3">
      <c r="A874" s="2">
        <v>1.9127490680737509</v>
      </c>
      <c r="B874" s="2">
        <v>26.941826470379031</v>
      </c>
      <c r="C874" s="2">
        <v>30.738972392163131</v>
      </c>
      <c r="AN874" s="3">
        <f t="shared" si="50"/>
        <v>2.7878031814517437</v>
      </c>
      <c r="AO874" s="3">
        <f t="shared" si="51"/>
        <v>0.55000667853055507</v>
      </c>
    </row>
    <row r="875" spans="1:41" x14ac:dyDescent="0.3">
      <c r="A875" s="2">
        <v>15.03426393466707</v>
      </c>
      <c r="B875" s="2">
        <v>10.9374219789016</v>
      </c>
      <c r="C875" s="2">
        <v>24.14789699992588</v>
      </c>
      <c r="AN875" s="3">
        <f t="shared" si="50"/>
        <v>205.48456767436977</v>
      </c>
      <c r="AO875" s="3">
        <f t="shared" si="51"/>
        <v>34.216077479616686</v>
      </c>
    </row>
    <row r="876" spans="1:41" x14ac:dyDescent="0.3">
      <c r="A876" s="2">
        <v>11.71996726649078</v>
      </c>
      <c r="B876" s="2">
        <v>30.074271269545822</v>
      </c>
      <c r="C876" s="2">
        <v>28.79852327054035</v>
      </c>
      <c r="AN876" s="3">
        <f t="shared" si="50"/>
        <v>23.060321708685194</v>
      </c>
      <c r="AO876" s="3">
        <f t="shared" si="51"/>
        <v>1.4371808297949382</v>
      </c>
    </row>
    <row r="877" spans="1:41" x14ac:dyDescent="0.3">
      <c r="A877" s="2">
        <v>2.5407060285427989</v>
      </c>
      <c r="B877" s="2">
        <v>22.448560335904919</v>
      </c>
      <c r="C877" s="2">
        <v>34.526656384873618</v>
      </c>
      <c r="AN877" s="3">
        <f t="shared" si="50"/>
        <v>7.9726862141572958</v>
      </c>
      <c r="AO877" s="3">
        <f t="shared" si="51"/>
        <v>20.514634075669072</v>
      </c>
    </row>
    <row r="878" spans="1:41" x14ac:dyDescent="0.3">
      <c r="A878" s="2">
        <v>17.325097173863028</v>
      </c>
      <c r="B878" s="2">
        <v>12.114085101246481</v>
      </c>
      <c r="C878" s="2">
        <v>23.598090058451081</v>
      </c>
      <c r="AN878" s="3">
        <f t="shared" si="50"/>
        <v>173.13480060411567</v>
      </c>
      <c r="AO878" s="3">
        <f t="shared" si="51"/>
        <v>40.950502724692846</v>
      </c>
    </row>
    <row r="879" spans="1:41" x14ac:dyDescent="0.3">
      <c r="A879" s="2">
        <v>3.6909491320982579</v>
      </c>
      <c r="B879" s="2">
        <v>23.613094106490671</v>
      </c>
      <c r="C879" s="2">
        <v>32.726272148130207</v>
      </c>
      <c r="AN879" s="3">
        <f t="shared" si="50"/>
        <v>2.7524826882212832</v>
      </c>
      <c r="AO879" s="3">
        <f t="shared" si="51"/>
        <v>7.4470267835524018</v>
      </c>
    </row>
    <row r="880" spans="1:41" x14ac:dyDescent="0.3">
      <c r="A880" s="2">
        <v>18.466833388492471</v>
      </c>
      <c r="B880" s="2">
        <v>23.31881865950216</v>
      </c>
      <c r="C880" s="2">
        <v>39.197073313545438</v>
      </c>
      <c r="AN880" s="3">
        <f t="shared" si="50"/>
        <v>3.8155224350771766</v>
      </c>
      <c r="AO880" s="3">
        <f t="shared" si="51"/>
        <v>84.634945093938654</v>
      </c>
    </row>
    <row r="881" spans="1:41" x14ac:dyDescent="0.3">
      <c r="A881" s="2">
        <v>11.0975983056234</v>
      </c>
      <c r="B881" s="2">
        <v>26.501792586237649</v>
      </c>
      <c r="C881" s="2">
        <v>26.608084302377261</v>
      </c>
      <c r="AN881" s="3">
        <f t="shared" si="50"/>
        <v>1.5120088604193971</v>
      </c>
      <c r="AO881" s="3">
        <f t="shared" si="51"/>
        <v>11.487108688606611</v>
      </c>
    </row>
    <row r="882" spans="1:41" x14ac:dyDescent="0.3">
      <c r="A882" s="2">
        <v>10.1657486774153</v>
      </c>
      <c r="B882" s="2">
        <v>25.225530824052999</v>
      </c>
      <c r="C882" s="2">
        <v>31.905844306422829</v>
      </c>
      <c r="AN882" s="3">
        <f t="shared" si="50"/>
        <v>2.1738036615229924E-3</v>
      </c>
      <c r="AO882" s="3">
        <f t="shared" si="51"/>
        <v>3.6423579958853982</v>
      </c>
    </row>
    <row r="883" spans="1:41" x14ac:dyDescent="0.3">
      <c r="A883" s="2">
        <v>28.548698254193479</v>
      </c>
      <c r="B883" s="2">
        <v>24.167056856931051</v>
      </c>
      <c r="C883" s="2">
        <v>14.449778734647341</v>
      </c>
      <c r="AN883" s="3">
        <f t="shared" si="50"/>
        <v>1.2212416659185712</v>
      </c>
      <c r="AO883" s="3">
        <f t="shared" si="51"/>
        <v>241.72691132970897</v>
      </c>
    </row>
    <row r="884" spans="1:41" x14ac:dyDescent="0.3">
      <c r="A884" s="2">
        <v>5.6682982241001092</v>
      </c>
      <c r="B884" s="2">
        <v>32.496825241763851</v>
      </c>
      <c r="C884" s="2">
        <v>22.755378934276909</v>
      </c>
      <c r="AN884" s="3">
        <f t="shared" si="50"/>
        <v>52.195861670567247</v>
      </c>
      <c r="AO884" s="3">
        <f t="shared" si="51"/>
        <v>52.446116539876165</v>
      </c>
    </row>
    <row r="885" spans="1:41" x14ac:dyDescent="0.3">
      <c r="A885" s="2">
        <v>13.68127691414538</v>
      </c>
      <c r="B885" s="2">
        <v>29.33266303195547</v>
      </c>
      <c r="C885" s="2">
        <v>25.714565635534179</v>
      </c>
      <c r="AN885" s="3">
        <f t="shared" si="50"/>
        <v>16.487726359034291</v>
      </c>
      <c r="AO885" s="3">
        <f t="shared" si="51"/>
        <v>18.342225130878919</v>
      </c>
    </row>
    <row r="886" spans="1:41" x14ac:dyDescent="0.3">
      <c r="A886" s="2">
        <v>4.3412069162729274</v>
      </c>
      <c r="B886" s="2">
        <v>17.134897099269839</v>
      </c>
      <c r="C886" s="2">
        <v>28.519101391008949</v>
      </c>
      <c r="AN886" s="3">
        <f t="shared" si="50"/>
        <v>66.214964376550839</v>
      </c>
      <c r="AO886" s="3">
        <f t="shared" si="51"/>
        <v>2.1852131576268969</v>
      </c>
    </row>
    <row r="887" spans="1:41" x14ac:dyDescent="0.3">
      <c r="A887" s="2">
        <v>14.493315232524241</v>
      </c>
      <c r="B887" s="2">
        <v>25.325105390642609</v>
      </c>
      <c r="C887" s="2">
        <v>37.478052577620829</v>
      </c>
      <c r="AN887" s="3">
        <f t="shared" si="50"/>
        <v>2.803755363743732E-3</v>
      </c>
      <c r="AO887" s="3">
        <f t="shared" si="51"/>
        <v>55.96094036716908</v>
      </c>
    </row>
    <row r="888" spans="1:41" x14ac:dyDescent="0.3">
      <c r="A888" s="2">
        <v>0.50868642036044753</v>
      </c>
      <c r="B888" s="2">
        <v>26.13527078731865</v>
      </c>
      <c r="C888" s="2">
        <v>28.245180475270448</v>
      </c>
      <c r="AN888" s="3">
        <f t="shared" si="50"/>
        <v>0.74496904968479682</v>
      </c>
      <c r="AO888" s="3">
        <f t="shared" si="51"/>
        <v>3.0700911777037483</v>
      </c>
    </row>
    <row r="889" spans="1:41" x14ac:dyDescent="0.3">
      <c r="A889" s="2">
        <v>1.441654676430961</v>
      </c>
      <c r="B889" s="2">
        <v>26.285561549691369</v>
      </c>
      <c r="C889" s="2">
        <v>24.633061319838429</v>
      </c>
      <c r="AN889" s="3">
        <f t="shared" si="50"/>
        <v>1.0269930549487485</v>
      </c>
      <c r="AO889" s="3">
        <f t="shared" si="51"/>
        <v>28.775572024715235</v>
      </c>
    </row>
    <row r="890" spans="1:41" x14ac:dyDescent="0.3">
      <c r="A890" s="2">
        <v>8.5942230029518516</v>
      </c>
      <c r="B890" s="2">
        <v>12.2180560130784</v>
      </c>
      <c r="C890" s="2">
        <v>31.70034917266133</v>
      </c>
      <c r="AN890" s="3">
        <f t="shared" si="50"/>
        <v>170.40949752654987</v>
      </c>
      <c r="AO890" s="3">
        <f t="shared" si="51"/>
        <v>2.9002128551112585</v>
      </c>
    </row>
    <row r="891" spans="1:41" x14ac:dyDescent="0.3">
      <c r="A891" s="2">
        <v>2.0783185694672168</v>
      </c>
      <c r="B891" s="2">
        <v>27.350682977426271</v>
      </c>
      <c r="C891" s="2">
        <v>18.232319485828341</v>
      </c>
      <c r="AN891" s="3">
        <f t="shared" si="50"/>
        <v>4.3202790041528178</v>
      </c>
      <c r="AO891" s="3">
        <f t="shared" si="51"/>
        <v>138.41589689936561</v>
      </c>
    </row>
    <row r="892" spans="1:41" x14ac:dyDescent="0.3">
      <c r="A892" s="2">
        <v>2.7026269771699352</v>
      </c>
      <c r="B892" s="2">
        <v>24.061776896222231</v>
      </c>
      <c r="C892" s="2">
        <v>30.007476211340339</v>
      </c>
      <c r="AN892" s="3">
        <f t="shared" si="50"/>
        <v>1.4650148913545147</v>
      </c>
      <c r="AO892" s="3">
        <f t="shared" si="51"/>
        <v>1.0257983843644089E-4</v>
      </c>
    </row>
    <row r="893" spans="1:41" x14ac:dyDescent="0.3">
      <c r="A893" s="2">
        <v>7.062887362383826</v>
      </c>
      <c r="B893" s="2">
        <v>29.640849525241681</v>
      </c>
      <c r="C893" s="2">
        <v>35.268002426221123</v>
      </c>
      <c r="AN893" s="3">
        <f t="shared" si="50"/>
        <v>19.085492803237496</v>
      </c>
      <c r="AO893" s="3">
        <f t="shared" si="51"/>
        <v>27.779797650528863</v>
      </c>
    </row>
    <row r="894" spans="1:41" x14ac:dyDescent="0.3">
      <c r="A894" s="2">
        <v>13.087645293835109</v>
      </c>
      <c r="B894" s="2">
        <v>23.38812479875936</v>
      </c>
      <c r="C894" s="2">
        <v>33.03087426122741</v>
      </c>
      <c r="AN894" s="3">
        <f t="shared" si="50"/>
        <v>3.549569390199578</v>
      </c>
      <c r="AO894" s="3">
        <f t="shared" si="51"/>
        <v>9.2022813300033093</v>
      </c>
    </row>
    <row r="895" spans="1:41" x14ac:dyDescent="0.3">
      <c r="A895" s="2">
        <v>0.76594099019773276</v>
      </c>
      <c r="B895" s="2">
        <v>25.067665572568711</v>
      </c>
      <c r="C895" s="2">
        <v>27.115688326212439</v>
      </c>
      <c r="AN895" s="3">
        <f t="shared" si="50"/>
        <v>4.1815881540406094E-2</v>
      </c>
      <c r="AO895" s="3">
        <f t="shared" si="51"/>
        <v>8.3039627106932983</v>
      </c>
    </row>
    <row r="896" spans="1:41" x14ac:dyDescent="0.3">
      <c r="A896" s="2">
        <v>12.57002406017928</v>
      </c>
      <c r="B896" s="2">
        <v>18.073771475478949</v>
      </c>
      <c r="C896" s="2">
        <v>30.039259890391861</v>
      </c>
      <c r="AN896" s="3">
        <f t="shared" si="50"/>
        <v>51.816723803463368</v>
      </c>
      <c r="AO896" s="3">
        <f t="shared" si="51"/>
        <v>1.7566031359717658E-3</v>
      </c>
    </row>
    <row r="897" spans="1:41" x14ac:dyDescent="0.3">
      <c r="A897" s="2">
        <v>13.69141987005661</v>
      </c>
      <c r="B897" s="2">
        <v>24.52509114386897</v>
      </c>
      <c r="C897" s="2">
        <v>26.437046419358929</v>
      </c>
      <c r="AN897" s="3">
        <f t="shared" si="50"/>
        <v>0.55810424296396033</v>
      </c>
      <c r="AO897" s="3">
        <f t="shared" si="51"/>
        <v>12.675747635656228</v>
      </c>
    </row>
    <row r="898" spans="1:41" x14ac:dyDescent="0.3">
      <c r="A898" s="2">
        <v>23.991772412668809</v>
      </c>
      <c r="B898" s="2">
        <v>32.003177427927469</v>
      </c>
      <c r="C898" s="2">
        <v>28.60715397798873</v>
      </c>
      <c r="AN898" s="3">
        <f t="shared" si="50"/>
        <v>45.306664386440112</v>
      </c>
      <c r="AO898" s="3">
        <f t="shared" si="51"/>
        <v>1.9326395322836327</v>
      </c>
    </row>
    <row r="899" spans="1:41" x14ac:dyDescent="0.3">
      <c r="A899" s="2">
        <v>0.61150131855560963</v>
      </c>
      <c r="B899" s="2">
        <v>35.26575409691371</v>
      </c>
      <c r="C899" s="2">
        <v>27.54736165920275</v>
      </c>
      <c r="AN899" s="3">
        <f t="shared" ref="AN899:AN962" si="52">(B899-$AK$2)^2</f>
        <v>99.87202507925565</v>
      </c>
      <c r="AO899" s="3">
        <f t="shared" ref="AO899:AO962" si="53">(C899-$AK$3)^2</f>
        <v>6.0024332700259597</v>
      </c>
    </row>
    <row r="900" spans="1:41" x14ac:dyDescent="0.3">
      <c r="A900" s="2">
        <v>3.8402623854359281</v>
      </c>
      <c r="B900" s="2">
        <v>28.18676545705841</v>
      </c>
      <c r="C900" s="2">
        <v>36.901873896916889</v>
      </c>
      <c r="AN900" s="3">
        <f t="shared" si="52"/>
        <v>8.494954749100982</v>
      </c>
      <c r="AO900" s="3">
        <f t="shared" si="53"/>
        <v>47.672477297747285</v>
      </c>
    </row>
    <row r="901" spans="1:41" x14ac:dyDescent="0.3">
      <c r="A901" s="2">
        <v>1.4181177339913169</v>
      </c>
      <c r="B901" s="2">
        <v>27.68027100373353</v>
      </c>
      <c r="C901" s="2">
        <v>35.008590024645443</v>
      </c>
      <c r="AN901" s="3">
        <f t="shared" si="52"/>
        <v>5.7990232101939414</v>
      </c>
      <c r="AO901" s="3">
        <f t="shared" si="53"/>
        <v>25.11254622062663</v>
      </c>
    </row>
    <row r="902" spans="1:41" x14ac:dyDescent="0.3">
      <c r="A902" s="2">
        <v>26.810945565206438</v>
      </c>
      <c r="B902" s="2">
        <v>20.559528135858031</v>
      </c>
      <c r="C902" s="2">
        <v>33.610436400613359</v>
      </c>
      <c r="AN902" s="3">
        <f t="shared" si="52"/>
        <v>22.208850937610531</v>
      </c>
      <c r="AO902" s="3">
        <f t="shared" si="53"/>
        <v>13.054407495798186</v>
      </c>
    </row>
    <row r="903" spans="1:41" x14ac:dyDescent="0.3">
      <c r="A903" s="2">
        <v>24.534623827617391</v>
      </c>
      <c r="B903" s="2">
        <v>27.14852229876465</v>
      </c>
      <c r="C903" s="2">
        <v>32.270078698524649</v>
      </c>
      <c r="AN903" s="3">
        <f t="shared" si="52"/>
        <v>3.5207546471971698</v>
      </c>
      <c r="AO903" s="3">
        <f t="shared" si="53"/>
        <v>5.1653046425485565</v>
      </c>
    </row>
    <row r="904" spans="1:41" x14ac:dyDescent="0.3">
      <c r="A904" s="2">
        <v>15.02716945934649</v>
      </c>
      <c r="B904" s="2">
        <v>25.93830144949732</v>
      </c>
      <c r="C904" s="2">
        <v>37.110994217436527</v>
      </c>
      <c r="AN904" s="3">
        <f t="shared" si="52"/>
        <v>0.44375123678567707</v>
      </c>
      <c r="AO904" s="3">
        <f t="shared" si="53"/>
        <v>50.603961926334911</v>
      </c>
    </row>
    <row r="905" spans="1:41" x14ac:dyDescent="0.3">
      <c r="A905" s="2">
        <v>8.3651261947423698</v>
      </c>
      <c r="B905" s="2">
        <v>29.13203410471597</v>
      </c>
      <c r="C905" s="2">
        <v>26.977890478276471</v>
      </c>
      <c r="AN905" s="3">
        <f t="shared" si="52"/>
        <v>14.89866754092963</v>
      </c>
      <c r="AO905" s="3">
        <f t="shared" si="53"/>
        <v>9.1171239718977493</v>
      </c>
    </row>
    <row r="906" spans="1:41" x14ac:dyDescent="0.3">
      <c r="A906" s="2">
        <v>16.753587808386651</v>
      </c>
      <c r="B906" s="2">
        <v>24.856363642580469</v>
      </c>
      <c r="C906" s="2">
        <v>30.97014984468009</v>
      </c>
      <c r="AN906" s="3">
        <f t="shared" si="52"/>
        <v>0.17288236264435822</v>
      </c>
      <c r="AO906" s="3">
        <f t="shared" si="53"/>
        <v>0.94634334962681022</v>
      </c>
    </row>
    <row r="907" spans="1:41" x14ac:dyDescent="0.3">
      <c r="A907" s="2">
        <v>30.095634973538871</v>
      </c>
      <c r="B907" s="2">
        <v>31.3813736409173</v>
      </c>
      <c r="C907" s="2">
        <v>23.968067995641999</v>
      </c>
      <c r="AN907" s="3">
        <f t="shared" si="52"/>
        <v>37.322553728727108</v>
      </c>
      <c r="AO907" s="3">
        <f t="shared" si="53"/>
        <v>36.352217862974854</v>
      </c>
    </row>
    <row r="908" spans="1:41" x14ac:dyDescent="0.3">
      <c r="A908" s="2">
        <v>19.039816668955879</v>
      </c>
      <c r="B908" s="2">
        <v>23.686589465681571</v>
      </c>
      <c r="C908" s="2">
        <v>33.481152697189707</v>
      </c>
      <c r="AN908" s="3">
        <f t="shared" si="52"/>
        <v>2.5140177194222448</v>
      </c>
      <c r="AO908" s="3">
        <f t="shared" si="53"/>
        <v>12.136894883862734</v>
      </c>
    </row>
    <row r="909" spans="1:41" x14ac:dyDescent="0.3">
      <c r="A909" s="2">
        <v>1.4934874021144451</v>
      </c>
      <c r="B909" s="2">
        <v>22.467045542571402</v>
      </c>
      <c r="C909" s="2">
        <v>22.836066081193088</v>
      </c>
      <c r="AN909" s="3">
        <f t="shared" si="52"/>
        <v>7.868638459219234</v>
      </c>
      <c r="AO909" s="3">
        <f t="shared" si="53"/>
        <v>51.283959305032248</v>
      </c>
    </row>
    <row r="910" spans="1:41" x14ac:dyDescent="0.3">
      <c r="A910" s="2">
        <v>6.9173478486310689</v>
      </c>
      <c r="B910" s="2">
        <v>24.021007574497141</v>
      </c>
      <c r="C910" s="2">
        <v>30.25545363556397</v>
      </c>
      <c r="AN910" s="3">
        <f t="shared" si="52"/>
        <v>1.5653696087420319</v>
      </c>
      <c r="AO910" s="3">
        <f t="shared" si="53"/>
        <v>6.6618498046991007E-2</v>
      </c>
    </row>
    <row r="911" spans="1:41" x14ac:dyDescent="0.3">
      <c r="A911" s="2">
        <v>2.765470519571378</v>
      </c>
      <c r="B911" s="2">
        <v>25.940962084398649</v>
      </c>
      <c r="C911" s="2">
        <v>33.636967926701523</v>
      </c>
      <c r="AN911" s="3">
        <f t="shared" si="52"/>
        <v>0.447303061327186</v>
      </c>
      <c r="AO911" s="3">
        <f t="shared" si="53"/>
        <v>13.246832913829058</v>
      </c>
    </row>
    <row r="912" spans="1:41" x14ac:dyDescent="0.3">
      <c r="A912" s="2">
        <v>56.33907254229495</v>
      </c>
      <c r="B912" s="2">
        <v>27.480809258288971</v>
      </c>
      <c r="C912" s="2">
        <v>32.304525708825757</v>
      </c>
      <c r="AN912" s="3">
        <f t="shared" si="52"/>
        <v>4.8781541121150322</v>
      </c>
      <c r="AO912" s="3">
        <f t="shared" si="53"/>
        <v>5.323068791823613</v>
      </c>
    </row>
    <row r="913" spans="1:41" x14ac:dyDescent="0.3">
      <c r="A913" s="2">
        <v>8.2000503616483051</v>
      </c>
      <c r="B913" s="2">
        <v>27.942952454756831</v>
      </c>
      <c r="C913" s="2">
        <v>37.983288704761257</v>
      </c>
      <c r="AN913" s="3">
        <f t="shared" si="52"/>
        <v>7.1331596241151312</v>
      </c>
      <c r="AO913" s="3">
        <f t="shared" si="53"/>
        <v>63.775248288264422</v>
      </c>
    </row>
    <row r="914" spans="1:41" x14ac:dyDescent="0.3">
      <c r="A914" s="2">
        <v>11.49768310090055</v>
      </c>
      <c r="B914" s="2">
        <v>24.345600546140329</v>
      </c>
      <c r="C914" s="2">
        <v>21.011399014815691</v>
      </c>
      <c r="AN914" s="3">
        <f t="shared" si="52"/>
        <v>0.85850295482977979</v>
      </c>
      <c r="AO914" s="3">
        <f t="shared" si="53"/>
        <v>80.747279897639601</v>
      </c>
    </row>
    <row r="915" spans="1:41" x14ac:dyDescent="0.3">
      <c r="A915" s="2">
        <v>16.771112401601261</v>
      </c>
      <c r="B915" s="2">
        <v>26.782203108753279</v>
      </c>
      <c r="C915" s="2">
        <v>35.128577625548061</v>
      </c>
      <c r="AN915" s="3">
        <f t="shared" si="52"/>
        <v>2.280245618552216</v>
      </c>
      <c r="AO915" s="3">
        <f t="shared" si="53"/>
        <v>26.329517051364498</v>
      </c>
    </row>
    <row r="916" spans="1:41" x14ac:dyDescent="0.3">
      <c r="A916" s="2">
        <v>5.7121584126223999</v>
      </c>
      <c r="B916" s="2">
        <v>19.860688068986949</v>
      </c>
      <c r="C916" s="2">
        <v>31.375162634409762</v>
      </c>
      <c r="AN916" s="3">
        <f t="shared" si="52"/>
        <v>29.283973170720824</v>
      </c>
      <c r="AO916" s="3">
        <f t="shared" si="53"/>
        <v>1.898373054356175</v>
      </c>
    </row>
    <row r="917" spans="1:41" x14ac:dyDescent="0.3">
      <c r="A917" s="2">
        <v>14.91127384145754</v>
      </c>
      <c r="B917" s="2">
        <v>29.206495599061199</v>
      </c>
      <c r="C917" s="2">
        <v>34.343807076692329</v>
      </c>
      <c r="AN917" s="3">
        <f t="shared" si="52"/>
        <v>15.479036803492088</v>
      </c>
      <c r="AO917" s="3">
        <f t="shared" si="53"/>
        <v>18.891706150665286</v>
      </c>
    </row>
    <row r="918" spans="1:41" x14ac:dyDescent="0.3">
      <c r="A918" s="2">
        <v>1.091822474407345</v>
      </c>
      <c r="B918" s="2">
        <v>27.688838176661189</v>
      </c>
      <c r="C918" s="2">
        <v>29.452025771161129</v>
      </c>
      <c r="AN918" s="3">
        <f t="shared" si="52"/>
        <v>5.8403581009733818</v>
      </c>
      <c r="AO918" s="3">
        <f t="shared" si="53"/>
        <v>0.29737637776719983</v>
      </c>
    </row>
    <row r="919" spans="1:41" x14ac:dyDescent="0.3">
      <c r="A919" s="2">
        <v>13.248807024095299</v>
      </c>
      <c r="B919" s="2">
        <v>21.29203949395496</v>
      </c>
      <c r="C919" s="2">
        <v>33.620114180695857</v>
      </c>
      <c r="AN919" s="3">
        <f t="shared" si="52"/>
        <v>15.841318577452475</v>
      </c>
      <c r="AO919" s="3">
        <f t="shared" si="53"/>
        <v>13.124434504355271</v>
      </c>
    </row>
    <row r="920" spans="1:41" x14ac:dyDescent="0.3">
      <c r="A920" s="2">
        <v>24.513351712450149</v>
      </c>
      <c r="B920" s="2">
        <v>28.515347989645711</v>
      </c>
      <c r="C920" s="2">
        <v>22.640548602121189</v>
      </c>
      <c r="AN920" s="3">
        <f t="shared" si="52"/>
        <v>10.51830147212288</v>
      </c>
      <c r="AO920" s="3">
        <f t="shared" si="53"/>
        <v>54.122497980986822</v>
      </c>
    </row>
    <row r="921" spans="1:41" x14ac:dyDescent="0.3">
      <c r="A921" s="2">
        <v>7.3701927019311597</v>
      </c>
      <c r="B921" s="2">
        <v>20.377417693721601</v>
      </c>
      <c r="C921" s="2">
        <v>30.417496174001428</v>
      </c>
      <c r="AN921" s="3">
        <f t="shared" si="52"/>
        <v>23.958452234918756</v>
      </c>
      <c r="AO921" s="3">
        <f t="shared" si="53"/>
        <v>0.17652445383024903</v>
      </c>
    </row>
    <row r="922" spans="1:41" x14ac:dyDescent="0.3">
      <c r="A922" s="2">
        <v>30.50306841170536</v>
      </c>
      <c r="B922" s="2">
        <v>17.306528991616631</v>
      </c>
      <c r="C922" s="2">
        <v>36.785717261448923</v>
      </c>
      <c r="AN922" s="3">
        <f t="shared" si="52"/>
        <v>63.451195976247021</v>
      </c>
      <c r="AO922" s="3">
        <f t="shared" si="53"/>
        <v>46.081956675814951</v>
      </c>
    </row>
    <row r="923" spans="1:41" x14ac:dyDescent="0.3">
      <c r="A923" s="2">
        <v>3.5358053849035649</v>
      </c>
      <c r="B923" s="2">
        <v>27.521800854958979</v>
      </c>
      <c r="C923" s="2">
        <v>27.954552629557039</v>
      </c>
      <c r="AN923" s="3">
        <f t="shared" si="52"/>
        <v>5.0609069610896409</v>
      </c>
      <c r="AO923" s="3">
        <f t="shared" si="53"/>
        <v>4.1730130922069479</v>
      </c>
    </row>
    <row r="924" spans="1:41" x14ac:dyDescent="0.3">
      <c r="A924" s="2">
        <v>2.8758307718764251</v>
      </c>
      <c r="B924" s="2">
        <v>25.59499864753764</v>
      </c>
      <c r="C924" s="2">
        <v>31.25006790520569</v>
      </c>
      <c r="AN924" s="3">
        <f t="shared" si="52"/>
        <v>0.10422809083866183</v>
      </c>
      <c r="AO924" s="3">
        <f t="shared" si="53"/>
        <v>1.5693070586694651</v>
      </c>
    </row>
    <row r="925" spans="1:41" x14ac:dyDescent="0.3">
      <c r="A925" s="2">
        <v>5.1705487099096414</v>
      </c>
      <c r="B925" s="2">
        <v>17.921628204853871</v>
      </c>
      <c r="C925" s="2">
        <v>28.63705026129114</v>
      </c>
      <c r="AN925" s="3">
        <f t="shared" si="52"/>
        <v>54.030242570501066</v>
      </c>
      <c r="AO925" s="3">
        <f t="shared" si="53"/>
        <v>1.8504100489444923</v>
      </c>
    </row>
    <row r="926" spans="1:41" x14ac:dyDescent="0.3">
      <c r="A926" s="2">
        <v>2.7374585775435261</v>
      </c>
      <c r="B926" s="2">
        <v>25.467520230276659</v>
      </c>
      <c r="C926" s="2">
        <v>30.24270586892461</v>
      </c>
      <c r="AN926" s="3">
        <f t="shared" si="52"/>
        <v>3.8167615611155482E-2</v>
      </c>
      <c r="AO926" s="3">
        <f t="shared" si="53"/>
        <v>6.0200463820626195E-2</v>
      </c>
    </row>
    <row r="927" spans="1:41" x14ac:dyDescent="0.3">
      <c r="A927" s="2">
        <v>0.8664027572601527</v>
      </c>
      <c r="B927" s="2">
        <v>23.349449914081841</v>
      </c>
      <c r="C927" s="2">
        <v>31.599062867309421</v>
      </c>
      <c r="AN927" s="3">
        <f t="shared" si="52"/>
        <v>3.696794430032702</v>
      </c>
      <c r="AO927" s="3">
        <f t="shared" si="53"/>
        <v>2.5654903854509694</v>
      </c>
    </row>
    <row r="928" spans="1:41" x14ac:dyDescent="0.3">
      <c r="A928" s="2">
        <v>19.74097990683158</v>
      </c>
      <c r="B928" s="2">
        <v>33.404925346794663</v>
      </c>
      <c r="C928" s="2">
        <v>23.555413327626429</v>
      </c>
      <c r="AN928" s="3">
        <f t="shared" si="52"/>
        <v>66.141955279173018</v>
      </c>
      <c r="AO928" s="3">
        <f t="shared" si="53"/>
        <v>41.498522848827399</v>
      </c>
    </row>
    <row r="929" spans="1:41" x14ac:dyDescent="0.3">
      <c r="A929" s="2">
        <v>9.6847353023165219</v>
      </c>
      <c r="B929" s="2">
        <v>29.327021368835659</v>
      </c>
      <c r="C929" s="2">
        <v>29.29827614462183</v>
      </c>
      <c r="AN929" s="3">
        <f t="shared" si="52"/>
        <v>16.441942149349199</v>
      </c>
      <c r="AO929" s="3">
        <f t="shared" si="53"/>
        <v>0.48870151603012812</v>
      </c>
    </row>
    <row r="930" spans="1:41" x14ac:dyDescent="0.3">
      <c r="A930" s="2">
        <v>13.844486792788469</v>
      </c>
      <c r="B930" s="2">
        <v>33.596439667998588</v>
      </c>
      <c r="C930" s="2">
        <v>28.948185165752619</v>
      </c>
      <c r="AN930" s="3">
        <f t="shared" si="52"/>
        <v>69.293717040920939</v>
      </c>
      <c r="AO930" s="3">
        <f t="shared" si="53"/>
        <v>1.1007427383836692</v>
      </c>
    </row>
    <row r="931" spans="1:41" x14ac:dyDescent="0.3">
      <c r="A931" s="2">
        <v>2.9400825630193772</v>
      </c>
      <c r="B931" s="2">
        <v>19.224171366072991</v>
      </c>
      <c r="C931" s="2">
        <v>29.453997292671239</v>
      </c>
      <c r="AN931" s="3">
        <f t="shared" si="52"/>
        <v>36.57810472334625</v>
      </c>
      <c r="AO931" s="3">
        <f t="shared" si="53"/>
        <v>0.29523003549518245</v>
      </c>
    </row>
    <row r="932" spans="1:41" x14ac:dyDescent="0.3">
      <c r="A932" s="2">
        <v>3.8388786251074198</v>
      </c>
      <c r="B932" s="2">
        <v>21.566929461657651</v>
      </c>
      <c r="C932" s="2">
        <v>41.320537784676048</v>
      </c>
      <c r="AN932" s="3">
        <f t="shared" si="52"/>
        <v>13.728695485650064</v>
      </c>
      <c r="AO932" s="3">
        <f t="shared" si="53"/>
        <v>128.21462597575515</v>
      </c>
    </row>
    <row r="933" spans="1:41" x14ac:dyDescent="0.3">
      <c r="A933" s="2">
        <v>21.924774230248349</v>
      </c>
      <c r="B933" s="2">
        <v>22.410500809603018</v>
      </c>
      <c r="C933" s="2">
        <v>39.929868814336018</v>
      </c>
      <c r="AN933" s="3">
        <f t="shared" si="52"/>
        <v>8.1890640842056825</v>
      </c>
      <c r="AO933" s="3">
        <f t="shared" si="53"/>
        <v>98.654968916667897</v>
      </c>
    </row>
    <row r="934" spans="1:41" x14ac:dyDescent="0.3">
      <c r="A934" s="2">
        <v>6.433231401240544</v>
      </c>
      <c r="B934" s="2">
        <v>27.167350974850368</v>
      </c>
      <c r="C934" s="2">
        <v>18.843126042764212</v>
      </c>
      <c r="AN934" s="3">
        <f t="shared" si="52"/>
        <v>3.5917681945002067</v>
      </c>
      <c r="AO934" s="3">
        <f t="shared" si="53"/>
        <v>124.41666838152911</v>
      </c>
    </row>
    <row r="935" spans="1:41" x14ac:dyDescent="0.3">
      <c r="A935" s="2">
        <v>1.6029196993825101</v>
      </c>
      <c r="B935" s="2">
        <v>26.37595360372698</v>
      </c>
      <c r="C935" s="2">
        <v>33.807963526216113</v>
      </c>
      <c r="AN935" s="3">
        <f t="shared" si="52"/>
        <v>1.2183715972034175</v>
      </c>
      <c r="AO935" s="3">
        <f t="shared" si="53"/>
        <v>14.52079037767135</v>
      </c>
    </row>
    <row r="936" spans="1:41" x14ac:dyDescent="0.3">
      <c r="A936" s="2">
        <v>4.0178559309935977</v>
      </c>
      <c r="B936" s="2">
        <v>29.442507498100021</v>
      </c>
      <c r="C936" s="2">
        <v>31.63750839097446</v>
      </c>
      <c r="AN936" s="3">
        <f t="shared" si="52"/>
        <v>17.39184086371365</v>
      </c>
      <c r="AO936" s="3">
        <f t="shared" si="53"/>
        <v>2.6901259742750545</v>
      </c>
    </row>
    <row r="937" spans="1:41" x14ac:dyDescent="0.3">
      <c r="A937" s="2">
        <v>12.285060682900699</v>
      </c>
      <c r="B937" s="2">
        <v>15.44188450801219</v>
      </c>
      <c r="C937" s="2">
        <v>34.697121674974937</v>
      </c>
      <c r="AN937" s="3">
        <f t="shared" si="52"/>
        <v>96.63421581168069</v>
      </c>
      <c r="AO937" s="3">
        <f t="shared" si="53"/>
        <v>22.087872212459096</v>
      </c>
    </row>
    <row r="938" spans="1:41" x14ac:dyDescent="0.3">
      <c r="A938" s="2">
        <v>38.529715987350812</v>
      </c>
      <c r="B938" s="2">
        <v>26.297415832761668</v>
      </c>
      <c r="C938" s="2">
        <v>23.09441293909774</v>
      </c>
      <c r="AN938" s="3">
        <f t="shared" si="52"/>
        <v>1.0511599977598733</v>
      </c>
      <c r="AO938" s="3">
        <f t="shared" si="53"/>
        <v>47.650513018352555</v>
      </c>
    </row>
    <row r="939" spans="1:41" x14ac:dyDescent="0.3">
      <c r="A939" s="2">
        <v>6.5326796184521232</v>
      </c>
      <c r="B939" s="2">
        <v>19.18762317501572</v>
      </c>
      <c r="C939" s="2">
        <v>31.465571195554539</v>
      </c>
      <c r="AN939" s="3">
        <f t="shared" si="52"/>
        <v>37.021526208409917</v>
      </c>
      <c r="AO939" s="3">
        <f t="shared" si="53"/>
        <v>2.1556792321489966</v>
      </c>
    </row>
    <row r="940" spans="1:41" x14ac:dyDescent="0.3">
      <c r="A940" s="2">
        <v>18.001057776441311</v>
      </c>
      <c r="B940" s="2">
        <v>26.89168203802064</v>
      </c>
      <c r="C940" s="2">
        <v>26.632583657172749</v>
      </c>
      <c r="AN940" s="3">
        <f t="shared" si="52"/>
        <v>2.6228681784485715</v>
      </c>
      <c r="AO940" s="3">
        <f t="shared" si="53"/>
        <v>11.321639357345665</v>
      </c>
    </row>
    <row r="941" spans="1:41" x14ac:dyDescent="0.3">
      <c r="A941" s="2">
        <v>0.1005355041436486</v>
      </c>
      <c r="B941" s="2">
        <v>30.373881540862619</v>
      </c>
      <c r="C941" s="2">
        <v>36.833083987701912</v>
      </c>
      <c r="AN941" s="3">
        <f t="shared" si="52"/>
        <v>26.0276148052303</v>
      </c>
      <c r="AO941" s="3">
        <f t="shared" si="53"/>
        <v>46.727285935727991</v>
      </c>
    </row>
    <row r="942" spans="1:41" x14ac:dyDescent="0.3">
      <c r="A942" s="2">
        <v>2.5708317527358608</v>
      </c>
      <c r="B942" s="2">
        <v>24.734096093884421</v>
      </c>
      <c r="C942" s="2">
        <v>24.524117520758619</v>
      </c>
      <c r="AN942" s="3">
        <f t="shared" si="52"/>
        <v>0.28950726964790569</v>
      </c>
      <c r="AO942" s="3">
        <f t="shared" si="53"/>
        <v>29.956252325543662</v>
      </c>
    </row>
    <row r="943" spans="1:41" x14ac:dyDescent="0.3">
      <c r="A943" s="2">
        <v>8.7155337656875567</v>
      </c>
      <c r="B943" s="2">
        <v>21.744126602450521</v>
      </c>
      <c r="C943" s="2">
        <v>46.432492690060897</v>
      </c>
      <c r="AN943" s="3">
        <f t="shared" si="52"/>
        <v>12.4469836080474</v>
      </c>
      <c r="AO943" s="3">
        <f t="shared" si="53"/>
        <v>270.11397964203536</v>
      </c>
    </row>
    <row r="944" spans="1:41" x14ac:dyDescent="0.3">
      <c r="A944" s="2">
        <v>20.9042376146561</v>
      </c>
      <c r="B944" s="2">
        <v>12.904233796576619</v>
      </c>
      <c r="C944" s="2">
        <v>33.059033778810303</v>
      </c>
      <c r="AN944" s="3">
        <f t="shared" si="52"/>
        <v>152.96547220924816</v>
      </c>
      <c r="AO944" s="3">
        <f t="shared" si="53"/>
        <v>9.3739195583182315</v>
      </c>
    </row>
    <row r="945" spans="1:41" x14ac:dyDescent="0.3">
      <c r="A945" s="2">
        <v>6.1198492785813592</v>
      </c>
      <c r="B945" s="2">
        <v>27.32586137266928</v>
      </c>
      <c r="C945" s="2">
        <v>26.77182016420279</v>
      </c>
      <c r="AN945" s="3">
        <f t="shared" si="52"/>
        <v>4.2177103109631862</v>
      </c>
      <c r="AO945" s="3">
        <f t="shared" si="53"/>
        <v>10.404030082724102</v>
      </c>
    </row>
    <row r="946" spans="1:41" x14ac:dyDescent="0.3">
      <c r="A946" s="2">
        <v>32.936128039709828</v>
      </c>
      <c r="B946" s="2">
        <v>20.839653878195978</v>
      </c>
      <c r="C946" s="2">
        <v>29.353222110195961</v>
      </c>
      <c r="AN946" s="3">
        <f t="shared" si="52"/>
        <v>19.647065232581866</v>
      </c>
      <c r="AO946" s="3">
        <f t="shared" si="53"/>
        <v>0.41489821448019215</v>
      </c>
    </row>
    <row r="947" spans="1:41" x14ac:dyDescent="0.3">
      <c r="A947" s="2">
        <v>3.1980223873834079</v>
      </c>
      <c r="B947" s="2">
        <v>21.035373441997201</v>
      </c>
      <c r="C947" s="2">
        <v>24.05911201041679</v>
      </c>
      <c r="AN947" s="3">
        <f t="shared" si="52"/>
        <v>17.950317050507589</v>
      </c>
      <c r="AO947" s="3">
        <f t="shared" si="53"/>
        <v>35.262647152575212</v>
      </c>
    </row>
    <row r="948" spans="1:41" x14ac:dyDescent="0.3">
      <c r="A948" s="2">
        <v>1.6200574508561509</v>
      </c>
      <c r="B948" s="2">
        <v>26.614077238485599</v>
      </c>
      <c r="C948" s="2">
        <v>28.60030961781543</v>
      </c>
      <c r="AN948" s="3">
        <f t="shared" si="52"/>
        <v>1.8007555854481194</v>
      </c>
      <c r="AO948" s="3">
        <f t="shared" si="53"/>
        <v>1.9517163553031811</v>
      </c>
    </row>
    <row r="949" spans="1:41" x14ac:dyDescent="0.3">
      <c r="A949" s="2">
        <v>5.973462201121337</v>
      </c>
      <c r="B949" s="2">
        <v>26.47601030901021</v>
      </c>
      <c r="C949" s="2">
        <v>33.638999673758697</v>
      </c>
      <c r="AN949" s="3">
        <f t="shared" si="52"/>
        <v>1.4492678663662699</v>
      </c>
      <c r="AO949" s="3">
        <f t="shared" si="53"/>
        <v>13.261626615809975</v>
      </c>
    </row>
    <row r="950" spans="1:41" x14ac:dyDescent="0.3">
      <c r="A950" s="2">
        <v>10.566021857043999</v>
      </c>
      <c r="B950" s="2">
        <v>16.382140394607429</v>
      </c>
      <c r="C950" s="2">
        <v>31.706190946002181</v>
      </c>
      <c r="AN950" s="3">
        <f t="shared" si="52"/>
        <v>79.032357754239413</v>
      </c>
      <c r="AO950" s="3">
        <f t="shared" si="53"/>
        <v>2.9201440746500844</v>
      </c>
    </row>
    <row r="951" spans="1:41" x14ac:dyDescent="0.3">
      <c r="A951" s="2">
        <v>1.291321722563942</v>
      </c>
      <c r="B951" s="2">
        <v>30.428860763415969</v>
      </c>
      <c r="C951" s="2">
        <v>31.320398502160941</v>
      </c>
      <c r="AN951" s="3">
        <f t="shared" si="52"/>
        <v>26.591615449870652</v>
      </c>
      <c r="AO951" s="3">
        <f t="shared" si="53"/>
        <v>1.7504625232998543</v>
      </c>
    </row>
    <row r="952" spans="1:41" x14ac:dyDescent="0.3">
      <c r="A952" s="2">
        <v>1.9806495907624191</v>
      </c>
      <c r="B952" s="2">
        <v>26.273672452116291</v>
      </c>
      <c r="C952" s="2">
        <v>28.745843968729339</v>
      </c>
      <c r="AN952" s="3">
        <f t="shared" si="52"/>
        <v>1.0030374243039912</v>
      </c>
      <c r="AO952" s="3">
        <f t="shared" si="53"/>
        <v>1.566262442416583</v>
      </c>
    </row>
    <row r="953" spans="1:41" x14ac:dyDescent="0.3">
      <c r="A953" s="2">
        <v>4.1862771246337527</v>
      </c>
      <c r="B953" s="2">
        <v>24.668305298616879</v>
      </c>
      <c r="C953" s="2">
        <v>26.291375457799489</v>
      </c>
      <c r="AN953" s="3">
        <f t="shared" si="52"/>
        <v>0.3646343307761612</v>
      </c>
      <c r="AO953" s="3">
        <f t="shared" si="53"/>
        <v>13.734232785972612</v>
      </c>
    </row>
    <row r="954" spans="1:41" x14ac:dyDescent="0.3">
      <c r="A954" s="2">
        <v>7.345857744153939</v>
      </c>
      <c r="B954" s="2">
        <v>18.050632815128751</v>
      </c>
      <c r="C954" s="2">
        <v>25.528933708852861</v>
      </c>
      <c r="AN954" s="3">
        <f t="shared" si="52"/>
        <v>52.150381098931923</v>
      </c>
      <c r="AO954" s="3">
        <f t="shared" si="53"/>
        <v>19.966726641976077</v>
      </c>
    </row>
    <row r="955" spans="1:41" x14ac:dyDescent="0.3">
      <c r="A955" s="2">
        <v>5.0353475900072988</v>
      </c>
      <c r="B955" s="2">
        <v>25.733514182272518</v>
      </c>
      <c r="C955" s="2">
        <v>31.051537878491189</v>
      </c>
      <c r="AN955" s="3">
        <f t="shared" si="52"/>
        <v>0.21285239521952037</v>
      </c>
      <c r="AO955" s="3">
        <f t="shared" si="53"/>
        <v>1.1113162138853632</v>
      </c>
    </row>
    <row r="956" spans="1:41" x14ac:dyDescent="0.3">
      <c r="A956" s="2">
        <v>1.984963271257661</v>
      </c>
      <c r="B956" s="2">
        <v>32.394211301549262</v>
      </c>
      <c r="C956" s="2">
        <v>32.485745896072707</v>
      </c>
      <c r="AN956" s="3">
        <f t="shared" si="52"/>
        <v>50.723687508501122</v>
      </c>
      <c r="AO956" s="3">
        <f t="shared" si="53"/>
        <v>6.1921238861116183</v>
      </c>
    </row>
    <row r="957" spans="1:41" x14ac:dyDescent="0.3">
      <c r="A957" s="2">
        <v>4.1126519998632558</v>
      </c>
      <c r="B957" s="2">
        <v>19.480615930835679</v>
      </c>
      <c r="C957" s="2">
        <v>24.03535517514678</v>
      </c>
      <c r="AN957" s="3">
        <f t="shared" si="52"/>
        <v>33.541923532423283</v>
      </c>
      <c r="AO957" s="3">
        <f t="shared" si="53"/>
        <v>35.545358930133901</v>
      </c>
    </row>
    <row r="958" spans="1:41" x14ac:dyDescent="0.3">
      <c r="A958" s="2">
        <v>0.52368495010172167</v>
      </c>
      <c r="B958" s="2">
        <v>21.837275437460619</v>
      </c>
      <c r="C958" s="2">
        <v>22.342881318254769</v>
      </c>
      <c r="AN958" s="3">
        <f t="shared" si="52"/>
        <v>11.798396863503436</v>
      </c>
      <c r="AO958" s="3">
        <f t="shared" si="53"/>
        <v>58.590860806595991</v>
      </c>
    </row>
    <row r="959" spans="1:41" x14ac:dyDescent="0.3">
      <c r="A959" s="2">
        <v>4.6760202250354013</v>
      </c>
      <c r="B959" s="2">
        <v>26.282379512326461</v>
      </c>
      <c r="C959" s="2">
        <v>35.149736050461691</v>
      </c>
      <c r="AN959" s="3">
        <f t="shared" si="52"/>
        <v>1.0205537846058588</v>
      </c>
      <c r="AO959" s="3">
        <f t="shared" si="53"/>
        <v>26.547102202076175</v>
      </c>
    </row>
    <row r="960" spans="1:41" x14ac:dyDescent="0.3">
      <c r="A960" s="2">
        <v>8.9230410781321474</v>
      </c>
      <c r="B960" s="2">
        <v>34.155936535636471</v>
      </c>
      <c r="C960" s="2">
        <v>34.962012714122253</v>
      </c>
      <c r="AN960" s="3">
        <f t="shared" si="52"/>
        <v>78.921576301416238</v>
      </c>
      <c r="AO960" s="3">
        <f t="shared" si="53"/>
        <v>24.647895318505636</v>
      </c>
    </row>
    <row r="961" spans="1:41" x14ac:dyDescent="0.3">
      <c r="A961" s="2">
        <v>2.3697819823708079</v>
      </c>
      <c r="B961" s="2">
        <v>24.08013165030621</v>
      </c>
      <c r="C961" s="2">
        <v>31.872824498110251</v>
      </c>
      <c r="AN961" s="3">
        <f t="shared" si="52"/>
        <v>1.4209194074495184</v>
      </c>
      <c r="AO961" s="3">
        <f t="shared" si="53"/>
        <v>3.5174119419143155</v>
      </c>
    </row>
    <row r="962" spans="1:41" x14ac:dyDescent="0.3">
      <c r="A962" s="2">
        <v>1.240755017866161</v>
      </c>
      <c r="B962" s="2">
        <v>21.771617844377531</v>
      </c>
      <c r="C962" s="2">
        <v>32.816607700353742</v>
      </c>
      <c r="AN962" s="3">
        <f t="shared" si="52"/>
        <v>12.253759617993133</v>
      </c>
      <c r="AO962" s="3">
        <f t="shared" si="53"/>
        <v>7.9482250279710058</v>
      </c>
    </row>
    <row r="963" spans="1:41" x14ac:dyDescent="0.3">
      <c r="A963" s="2">
        <v>18.037953344409889</v>
      </c>
      <c r="B963" s="2">
        <v>23.890280356249669</v>
      </c>
      <c r="C963" s="2">
        <v>31.32777672208011</v>
      </c>
      <c r="AN963" s="3">
        <f t="shared" ref="AN963:AN1026" si="54">(B963-$AK$2)^2</f>
        <v>1.9095772310613004</v>
      </c>
      <c r="AO963" s="3">
        <f t="shared" ref="AO963:AO1026" si="55">(C963-$AK$3)^2</f>
        <v>1.770040475965144</v>
      </c>
    </row>
    <row r="964" spans="1:41" x14ac:dyDescent="0.3">
      <c r="A964" s="2">
        <v>24.394894411987071</v>
      </c>
      <c r="B964" s="2">
        <v>27.16884767689583</v>
      </c>
      <c r="C964" s="2">
        <v>27.207125363685911</v>
      </c>
      <c r="AN964" s="3">
        <f t="shared" si="54"/>
        <v>3.5974435223263423</v>
      </c>
      <c r="AO964" s="3">
        <f t="shared" si="55"/>
        <v>7.7853425878976248</v>
      </c>
    </row>
    <row r="965" spans="1:41" x14ac:dyDescent="0.3">
      <c r="A965" s="2">
        <v>0.13946219612671029</v>
      </c>
      <c r="B965" s="2">
        <v>15.650066990845</v>
      </c>
      <c r="C965" s="2">
        <v>26.921203183853759</v>
      </c>
      <c r="AN965" s="3">
        <f t="shared" si="54"/>
        <v>92.584575567151361</v>
      </c>
      <c r="AO965" s="3">
        <f t="shared" si="55"/>
        <v>9.4626671809343517</v>
      </c>
    </row>
    <row r="966" spans="1:41" x14ac:dyDescent="0.3">
      <c r="A966" s="2">
        <v>1.9043890960007961</v>
      </c>
      <c r="B966" s="2">
        <v>32.705972225689379</v>
      </c>
      <c r="C966" s="2">
        <v>28.799116775743851</v>
      </c>
      <c r="AN966" s="3">
        <f t="shared" si="54"/>
        <v>55.261640158697098</v>
      </c>
      <c r="AO966" s="3">
        <f t="shared" si="55"/>
        <v>1.4357581645648922</v>
      </c>
    </row>
    <row r="967" spans="1:41" x14ac:dyDescent="0.3">
      <c r="A967" s="2">
        <v>4.2970002550266564</v>
      </c>
      <c r="B967" s="2">
        <v>36.973922301726603</v>
      </c>
      <c r="C967" s="2">
        <v>28.95859793974207</v>
      </c>
      <c r="AN967" s="3">
        <f t="shared" si="54"/>
        <v>136.93136052399001</v>
      </c>
      <c r="AO967" s="3">
        <f t="shared" si="55"/>
        <v>1.0790017724537835</v>
      </c>
    </row>
    <row r="968" spans="1:41" x14ac:dyDescent="0.3">
      <c r="A968" s="2">
        <v>27.72600827939052</v>
      </c>
      <c r="B968" s="2">
        <v>27.514928432578941</v>
      </c>
      <c r="C968" s="2">
        <v>24.958009238934832</v>
      </c>
      <c r="AN968" s="3">
        <f t="shared" si="54"/>
        <v>5.0300331567455778</v>
      </c>
      <c r="AO968" s="3">
        <f t="shared" si="55"/>
        <v>25.394935560012609</v>
      </c>
    </row>
    <row r="969" spans="1:41" x14ac:dyDescent="0.3">
      <c r="A969" s="2">
        <v>4.9493751927121368</v>
      </c>
      <c r="B969" s="2">
        <v>18.374326427601101</v>
      </c>
      <c r="C969" s="2">
        <v>26.984059339797881</v>
      </c>
      <c r="AN969" s="3">
        <f t="shared" si="54"/>
        <v>47.580037516814684</v>
      </c>
      <c r="AO969" s="3">
        <f t="shared" si="55"/>
        <v>9.0799087956042239</v>
      </c>
    </row>
    <row r="970" spans="1:41" x14ac:dyDescent="0.3">
      <c r="A970" s="2">
        <v>7.2189089994829736</v>
      </c>
      <c r="B970" s="2">
        <v>28.11299365893154</v>
      </c>
      <c r="C970" s="2">
        <v>22.410369976303979</v>
      </c>
      <c r="AN970" s="3">
        <f t="shared" si="54"/>
        <v>8.0703649027722371</v>
      </c>
      <c r="AO970" s="3">
        <f t="shared" si="55"/>
        <v>57.562236151187051</v>
      </c>
    </row>
    <row r="971" spans="1:41" x14ac:dyDescent="0.3">
      <c r="A971" s="2">
        <v>30.657411481354728</v>
      </c>
      <c r="B971" s="2">
        <v>23.477309057195971</v>
      </c>
      <c r="C971" s="2">
        <v>32.197047334315442</v>
      </c>
      <c r="AN971" s="3">
        <f t="shared" si="54"/>
        <v>3.2214715687730315</v>
      </c>
      <c r="AO971" s="3">
        <f t="shared" si="55"/>
        <v>4.8386769818797921</v>
      </c>
    </row>
    <row r="972" spans="1:41" x14ac:dyDescent="0.3">
      <c r="A972" s="2">
        <v>1.7725969111695421</v>
      </c>
      <c r="B972" s="2">
        <v>22.078983808270621</v>
      </c>
      <c r="C972" s="2">
        <v>25.255297510465901</v>
      </c>
      <c r="AN972" s="3">
        <f t="shared" si="54"/>
        <v>10.196341566513437</v>
      </c>
      <c r="AO972" s="3">
        <f t="shared" si="55"/>
        <v>22.487043232268952</v>
      </c>
    </row>
    <row r="973" spans="1:41" x14ac:dyDescent="0.3">
      <c r="A973" s="2">
        <v>4.1284233928878979</v>
      </c>
      <c r="B973" s="2">
        <v>28.512828674603369</v>
      </c>
      <c r="C973" s="2">
        <v>32.610930452442879</v>
      </c>
      <c r="AN973" s="3">
        <f t="shared" si="54"/>
        <v>10.501966568756202</v>
      </c>
      <c r="AO973" s="3">
        <f t="shared" si="55"/>
        <v>6.8308130224341044</v>
      </c>
    </row>
    <row r="974" spans="1:41" x14ac:dyDescent="0.3">
      <c r="A974" s="2">
        <v>2.297597401292677</v>
      </c>
      <c r="B974" s="2">
        <v>32.359618901717127</v>
      </c>
      <c r="C974" s="2">
        <v>33.079850569231773</v>
      </c>
      <c r="AN974" s="3">
        <f t="shared" si="54"/>
        <v>50.232146096697569</v>
      </c>
      <c r="AO974" s="3">
        <f t="shared" si="55"/>
        <v>9.5018218377706951</v>
      </c>
    </row>
    <row r="975" spans="1:41" x14ac:dyDescent="0.3">
      <c r="A975" s="2">
        <v>8.2920733593182909</v>
      </c>
      <c r="B975" s="2">
        <v>32.221665431643871</v>
      </c>
      <c r="C975" s="2">
        <v>33.851244442112311</v>
      </c>
      <c r="AN975" s="3">
        <f t="shared" si="54"/>
        <v>48.295696748134098</v>
      </c>
      <c r="AO975" s="3">
        <f t="shared" si="55"/>
        <v>14.852517472025999</v>
      </c>
    </row>
    <row r="976" spans="1:41" x14ac:dyDescent="0.3">
      <c r="A976" s="2">
        <v>4.3585704056993251</v>
      </c>
      <c r="B976" s="2">
        <v>34.456509725316373</v>
      </c>
      <c r="C976" s="2">
        <v>30.74726329085388</v>
      </c>
      <c r="AN976" s="3">
        <f t="shared" si="54"/>
        <v>84.352373714190691</v>
      </c>
      <c r="AO976" s="3">
        <f t="shared" si="55"/>
        <v>0.56237288225909654</v>
      </c>
    </row>
    <row r="977" spans="1:41" x14ac:dyDescent="0.3">
      <c r="A977" s="2">
        <v>0.96445902254279725</v>
      </c>
      <c r="B977" s="2">
        <v>22.067234516915899</v>
      </c>
      <c r="C977" s="2">
        <v>23.840814185828719</v>
      </c>
      <c r="AN977" s="3">
        <f t="shared" si="54"/>
        <v>10.271514607164491</v>
      </c>
      <c r="AO977" s="3">
        <f t="shared" si="55"/>
        <v>37.902909107442646</v>
      </c>
    </row>
    <row r="978" spans="1:41" x14ac:dyDescent="0.3">
      <c r="A978" s="2">
        <v>8.310002554895736E-2</v>
      </c>
      <c r="B978" s="2">
        <v>28.024096015426291</v>
      </c>
      <c r="C978" s="2">
        <v>35.717416507248721</v>
      </c>
      <c r="AN978" s="3">
        <f t="shared" si="54"/>
        <v>7.5731799497797807</v>
      </c>
      <c r="AO978" s="3">
        <f t="shared" si="55"/>
        <v>32.719183260828409</v>
      </c>
    </row>
    <row r="979" spans="1:41" x14ac:dyDescent="0.3">
      <c r="A979" s="2">
        <v>2.3864537977095348</v>
      </c>
      <c r="B979" s="2">
        <v>31.017829735878308</v>
      </c>
      <c r="C979" s="2">
        <v>40.842259855262441</v>
      </c>
      <c r="AN979" s="3">
        <f t="shared" si="54"/>
        <v>33.012779417787463</v>
      </c>
      <c r="AO979" s="3">
        <f t="shared" si="55"/>
        <v>117.61211226340518</v>
      </c>
    </row>
    <row r="980" spans="1:41" x14ac:dyDescent="0.3">
      <c r="A980" s="2">
        <v>6.0805953658092573</v>
      </c>
      <c r="B980" s="2">
        <v>21.544663380687819</v>
      </c>
      <c r="C980" s="2">
        <v>24.981510569872359</v>
      </c>
      <c r="AN980" s="3">
        <f t="shared" si="54"/>
        <v>13.894192962874714</v>
      </c>
      <c r="AO980" s="3">
        <f t="shared" si="55"/>
        <v>25.158625534790396</v>
      </c>
    </row>
    <row r="981" spans="1:41" x14ac:dyDescent="0.3">
      <c r="A981" s="2">
        <v>1.784387965368724</v>
      </c>
      <c r="B981" s="2">
        <v>21.336909967412719</v>
      </c>
      <c r="C981" s="2">
        <v>41.082035607382657</v>
      </c>
      <c r="AN981" s="3">
        <f t="shared" si="54"/>
        <v>15.486152612235706</v>
      </c>
      <c r="AO981" s="3">
        <f t="shared" si="55"/>
        <v>122.87029844868894</v>
      </c>
    </row>
    <row r="982" spans="1:41" x14ac:dyDescent="0.3">
      <c r="A982" s="2">
        <v>4.4137035838313281</v>
      </c>
      <c r="B982" s="2">
        <v>26.115556109349971</v>
      </c>
      <c r="C982" s="2">
        <v>27.33687821084122</v>
      </c>
      <c r="AN982" s="3">
        <f t="shared" si="54"/>
        <v>0.71132561433918229</v>
      </c>
      <c r="AO982" s="3">
        <f t="shared" si="55"/>
        <v>7.0780997161360695</v>
      </c>
    </row>
    <row r="983" spans="1:41" x14ac:dyDescent="0.3">
      <c r="A983" s="2">
        <v>5.4704329041551967</v>
      </c>
      <c r="B983" s="2">
        <v>29.43436383450933</v>
      </c>
      <c r="C983" s="2">
        <v>31.702046354429712</v>
      </c>
      <c r="AN983" s="3">
        <f t="shared" si="54"/>
        <v>17.32398328560425</v>
      </c>
      <c r="AO983" s="3">
        <f t="shared" si="55"/>
        <v>2.9059963404822606</v>
      </c>
    </row>
    <row r="984" spans="1:41" x14ac:dyDescent="0.3">
      <c r="A984" s="2">
        <v>28.037855641492079</v>
      </c>
      <c r="B984" s="2">
        <v>31.155420398298091</v>
      </c>
      <c r="C984" s="2">
        <v>28.454927380541871</v>
      </c>
      <c r="AN984" s="3">
        <f t="shared" si="54"/>
        <v>34.612813023957109</v>
      </c>
      <c r="AO984" s="3">
        <f t="shared" si="55"/>
        <v>2.3790614931999174</v>
      </c>
    </row>
    <row r="985" spans="1:41" x14ac:dyDescent="0.3">
      <c r="A985" s="2">
        <v>0.1889633989658035</v>
      </c>
      <c r="B985" s="2">
        <v>16.550090651079721</v>
      </c>
      <c r="C985" s="2">
        <v>31.7296429490668</v>
      </c>
      <c r="AN985" s="3">
        <f t="shared" si="54"/>
        <v>76.074404613311145</v>
      </c>
      <c r="AO985" s="3">
        <f t="shared" si="55"/>
        <v>3.0008456491972031</v>
      </c>
    </row>
    <row r="986" spans="1:41" x14ac:dyDescent="0.3">
      <c r="A986" s="2">
        <v>12.39082046517961</v>
      </c>
      <c r="B986" s="2">
        <v>24.825359215043299</v>
      </c>
      <c r="C986" s="2">
        <v>38.535355781780922</v>
      </c>
      <c r="AN986" s="3">
        <f t="shared" si="54"/>
        <v>0.1996263764641821</v>
      </c>
      <c r="AO986" s="3">
        <f t="shared" si="55"/>
        <v>72.897576185001455</v>
      </c>
    </row>
    <row r="987" spans="1:41" x14ac:dyDescent="0.3">
      <c r="A987" s="2">
        <v>10.90028868023713</v>
      </c>
      <c r="B987" s="2">
        <v>29.33968684467618</v>
      </c>
      <c r="C987" s="2">
        <v>31.381789686031969</v>
      </c>
      <c r="AN987" s="3">
        <f t="shared" si="54"/>
        <v>16.544816190438958</v>
      </c>
      <c r="AO987" s="3">
        <f t="shared" si="55"/>
        <v>1.9166786690447044</v>
      </c>
    </row>
    <row r="988" spans="1:41" x14ac:dyDescent="0.3">
      <c r="A988" s="2">
        <v>13.254344374920761</v>
      </c>
      <c r="B988" s="2">
        <v>26.131432408812159</v>
      </c>
      <c r="C988" s="2">
        <v>33.44875327377941</v>
      </c>
      <c r="AN988" s="3">
        <f t="shared" si="54"/>
        <v>0.73835785182780411</v>
      </c>
      <c r="AO988" s="3">
        <f t="shared" si="55"/>
        <v>11.912198082217971</v>
      </c>
    </row>
    <row r="989" spans="1:41" x14ac:dyDescent="0.3">
      <c r="A989" s="2">
        <v>30.768315225746679</v>
      </c>
      <c r="B989" s="2">
        <v>35.227244983256973</v>
      </c>
      <c r="C989" s="2">
        <v>31.384899188234009</v>
      </c>
      <c r="AN989" s="3">
        <f t="shared" si="54"/>
        <v>99.10381873580485</v>
      </c>
      <c r="AO989" s="3">
        <f t="shared" si="55"/>
        <v>1.9252981867375212</v>
      </c>
    </row>
    <row r="990" spans="1:41" x14ac:dyDescent="0.3">
      <c r="A990" s="2">
        <v>16.422462056137672</v>
      </c>
      <c r="B990" s="2">
        <v>34.299006423685043</v>
      </c>
      <c r="C990" s="2">
        <v>32.740284430719932</v>
      </c>
      <c r="AN990" s="3">
        <f t="shared" si="54"/>
        <v>81.484048584843208</v>
      </c>
      <c r="AO990" s="3">
        <f t="shared" si="55"/>
        <v>7.5237000391313451</v>
      </c>
    </row>
    <row r="991" spans="1:41" x14ac:dyDescent="0.3">
      <c r="A991" s="2">
        <v>8.5388249988463052</v>
      </c>
      <c r="B991" s="2">
        <v>32.579207105371353</v>
      </c>
      <c r="C991" s="2">
        <v>28.639836012497039</v>
      </c>
      <c r="AN991" s="3">
        <f t="shared" si="54"/>
        <v>53.393012056834571</v>
      </c>
      <c r="AO991" s="3">
        <f t="shared" si="55"/>
        <v>1.8428389069949613</v>
      </c>
    </row>
    <row r="992" spans="1:41" x14ac:dyDescent="0.3">
      <c r="A992" s="2">
        <v>26.626719030389982</v>
      </c>
      <c r="B992" s="2">
        <v>21.975033405627521</v>
      </c>
      <c r="C992" s="2">
        <v>33.681842269070579</v>
      </c>
      <c r="AN992" s="3">
        <f t="shared" si="54"/>
        <v>10.871010092334672</v>
      </c>
      <c r="AO992" s="3">
        <f t="shared" si="55"/>
        <v>13.575497718138196</v>
      </c>
    </row>
    <row r="993" spans="1:41" x14ac:dyDescent="0.3">
      <c r="A993" s="2">
        <v>5.1228189044364552</v>
      </c>
      <c r="B993" s="2">
        <v>20.234110569386829</v>
      </c>
      <c r="C993" s="2">
        <v>30.075081328183469</v>
      </c>
      <c r="AN993" s="3">
        <f t="shared" si="54"/>
        <v>25.381890591168364</v>
      </c>
      <c r="AO993" s="3">
        <f t="shared" si="55"/>
        <v>6.0424639669976457E-3</v>
      </c>
    </row>
    <row r="994" spans="1:41" x14ac:dyDescent="0.3">
      <c r="A994" s="2">
        <v>5.8853328100346189</v>
      </c>
      <c r="B994" s="2">
        <v>18.50647048137532</v>
      </c>
      <c r="C994" s="2">
        <v>35.928140330662423</v>
      </c>
      <c r="AN994" s="3">
        <f t="shared" si="54"/>
        <v>45.774485536855686</v>
      </c>
      <c r="AO994" s="3">
        <f t="shared" si="55"/>
        <v>35.174297185457739</v>
      </c>
    </row>
    <row r="995" spans="1:41" x14ac:dyDescent="0.3">
      <c r="A995" s="2">
        <v>5.3961803076454977</v>
      </c>
      <c r="B995" s="2">
        <v>30.107062808787251</v>
      </c>
      <c r="C995" s="2">
        <v>28.86211015684076</v>
      </c>
      <c r="AN995" s="3">
        <f t="shared" si="54"/>
        <v>23.376334569038878</v>
      </c>
      <c r="AO995" s="3">
        <f t="shared" si="55"/>
        <v>1.2887650531827264</v>
      </c>
    </row>
    <row r="996" spans="1:41" x14ac:dyDescent="0.3">
      <c r="A996" s="2">
        <v>15.1680407269985</v>
      </c>
      <c r="B996" s="2">
        <v>22.004051670366081</v>
      </c>
      <c r="C996" s="2">
        <v>31.799632806195309</v>
      </c>
      <c r="AN996" s="3">
        <f t="shared" si="54"/>
        <v>10.680498663720972</v>
      </c>
      <c r="AO996" s="3">
        <f t="shared" si="55"/>
        <v>3.2482303755657442</v>
      </c>
    </row>
    <row r="997" spans="1:41" x14ac:dyDescent="0.3">
      <c r="A997" s="2">
        <v>3.3827639573378949</v>
      </c>
      <c r="B997" s="2">
        <v>25.632047304769461</v>
      </c>
      <c r="C997" s="2">
        <v>35.991009289358573</v>
      </c>
      <c r="AN997" s="3">
        <f t="shared" si="54"/>
        <v>0.12952254915809067</v>
      </c>
      <c r="AO997" s="3">
        <f t="shared" si="55"/>
        <v>35.923975162438531</v>
      </c>
    </row>
    <row r="998" spans="1:41" x14ac:dyDescent="0.3">
      <c r="A998" s="2">
        <v>4.0454125627567059</v>
      </c>
      <c r="B998" s="2">
        <v>17.855116258890948</v>
      </c>
      <c r="C998" s="2">
        <v>35.590713289648491</v>
      </c>
      <c r="AN998" s="3">
        <f t="shared" si="54"/>
        <v>55.0124620770139</v>
      </c>
      <c r="AO998" s="3">
        <f t="shared" si="55"/>
        <v>31.285734806994043</v>
      </c>
    </row>
    <row r="999" spans="1:41" x14ac:dyDescent="0.3">
      <c r="A999" s="2">
        <v>6.8414601898912428</v>
      </c>
      <c r="B999" s="2">
        <v>25.14401651085274</v>
      </c>
      <c r="C999" s="2">
        <v>31.105525083562242</v>
      </c>
      <c r="AN999" s="3">
        <f t="shared" si="54"/>
        <v>1.6419444584514744E-2</v>
      </c>
      <c r="AO999" s="3">
        <f t="shared" si="55"/>
        <v>1.2280563580989474</v>
      </c>
    </row>
    <row r="1000" spans="1:41" x14ac:dyDescent="0.3">
      <c r="A1000" s="2">
        <v>2.2281129544815599</v>
      </c>
      <c r="B1000" s="2">
        <v>26.30580827840615</v>
      </c>
      <c r="C1000" s="2">
        <v>39.107541676770097</v>
      </c>
      <c r="AN1000" s="3">
        <f t="shared" si="54"/>
        <v>1.068439324346347</v>
      </c>
      <c r="AO1000" s="3">
        <f t="shared" si="55"/>
        <v>82.995628084818108</v>
      </c>
    </row>
    <row r="1001" spans="1:41" x14ac:dyDescent="0.3">
      <c r="A1001" s="2">
        <v>2.8810759796989109</v>
      </c>
      <c r="B1001" s="2">
        <v>21.772531653846819</v>
      </c>
      <c r="C1001" s="2">
        <v>21.80683769000461</v>
      </c>
      <c r="AN1001" s="3">
        <f t="shared" si="54"/>
        <v>12.247362805238442</v>
      </c>
      <c r="AO1001" s="3">
        <f t="shared" si="55"/>
        <v>67.084459806533133</v>
      </c>
    </row>
    <row r="1002" spans="1:41" x14ac:dyDescent="0.3">
      <c r="A1002" s="2">
        <v>2.7869425186773</v>
      </c>
      <c r="B1002" s="2">
        <v>27.265908153624981</v>
      </c>
      <c r="C1002" s="2">
        <v>27.746658660806371</v>
      </c>
      <c r="AN1002" s="3">
        <f t="shared" si="54"/>
        <v>3.975052070395622</v>
      </c>
      <c r="AO1002" s="3">
        <f t="shared" si="55"/>
        <v>5.0656026852289395</v>
      </c>
    </row>
    <row r="1003" spans="1:41" x14ac:dyDescent="0.3">
      <c r="A1003" s="2">
        <v>3.1369009984167491</v>
      </c>
      <c r="B1003" s="2">
        <v>35.037663035389571</v>
      </c>
      <c r="C1003" s="2">
        <v>37.325463760922091</v>
      </c>
      <c r="AN1003" s="3">
        <f t="shared" si="54"/>
        <v>95.365149309165147</v>
      </c>
      <c r="AO1003" s="3">
        <f t="shared" si="55"/>
        <v>53.70128000745872</v>
      </c>
    </row>
    <row r="1004" spans="1:41" x14ac:dyDescent="0.3">
      <c r="A1004" s="2">
        <v>1.6547454581545811</v>
      </c>
      <c r="B1004" s="2">
        <v>19.044401377182869</v>
      </c>
      <c r="C1004" s="2">
        <v>28.62044770409333</v>
      </c>
      <c r="AN1004" s="3">
        <f t="shared" si="54"/>
        <v>38.784913834584536</v>
      </c>
      <c r="AO1004" s="3">
        <f t="shared" si="55"/>
        <v>1.895854537230794</v>
      </c>
    </row>
    <row r="1005" spans="1:41" x14ac:dyDescent="0.3">
      <c r="A1005" s="2">
        <v>20.323321937795559</v>
      </c>
      <c r="B1005" s="2">
        <v>25.485277067815051</v>
      </c>
      <c r="C1005" s="2">
        <v>29.501718545575091</v>
      </c>
      <c r="AN1005" s="3">
        <f t="shared" si="54"/>
        <v>4.5421062054540155E-2</v>
      </c>
      <c r="AO1005" s="3">
        <f t="shared" si="55"/>
        <v>0.2456485965397244</v>
      </c>
    </row>
    <row r="1006" spans="1:41" x14ac:dyDescent="0.3">
      <c r="A1006" s="2">
        <v>3.1982814379011391</v>
      </c>
      <c r="B1006" s="2">
        <v>24.108094828788541</v>
      </c>
      <c r="C1006" s="2">
        <v>31.628317762434161</v>
      </c>
      <c r="AN1006" s="3">
        <f t="shared" si="54"/>
        <v>1.355035829505443</v>
      </c>
      <c r="AO1006" s="3">
        <f t="shared" si="55"/>
        <v>2.6600622328781118</v>
      </c>
    </row>
    <row r="1007" spans="1:41" x14ac:dyDescent="0.3">
      <c r="A1007" s="2">
        <v>30.54816655081866</v>
      </c>
      <c r="B1007" s="2">
        <v>30.4899415503168</v>
      </c>
      <c r="C1007" s="2">
        <v>24.11702275145349</v>
      </c>
      <c r="AN1007" s="3">
        <f t="shared" si="54"/>
        <v>27.225297617349558</v>
      </c>
      <c r="AO1007" s="3">
        <f t="shared" si="55"/>
        <v>34.578225508561651</v>
      </c>
    </row>
    <row r="1008" spans="1:41" x14ac:dyDescent="0.3">
      <c r="A1008" s="2">
        <v>22.846562255670761</v>
      </c>
      <c r="B1008" s="2">
        <v>26.991862483653609</v>
      </c>
      <c r="C1008" s="2">
        <v>30.45868558334886</v>
      </c>
      <c r="AN1008" s="3">
        <f t="shared" si="54"/>
        <v>2.9573942026501681</v>
      </c>
      <c r="AO1008" s="3">
        <f t="shared" si="55"/>
        <v>0.21283232816239014</v>
      </c>
    </row>
    <row r="1009" spans="1:41" x14ac:dyDescent="0.3">
      <c r="A1009" s="2">
        <v>3.7800265750202171</v>
      </c>
      <c r="B1009" s="2">
        <v>31.229922450193111</v>
      </c>
      <c r="C1009" s="2">
        <v>25.23371361596838</v>
      </c>
      <c r="AN1009" s="3">
        <f t="shared" si="54"/>
        <v>35.494994283899032</v>
      </c>
      <c r="AO1009" s="3">
        <f t="shared" si="55"/>
        <v>22.692212933468046</v>
      </c>
    </row>
    <row r="1010" spans="1:41" x14ac:dyDescent="0.3">
      <c r="A1010" s="2">
        <v>1.093001117329248</v>
      </c>
      <c r="B1010" s="2">
        <v>21.504670097156289</v>
      </c>
      <c r="C1010" s="2">
        <v>34.838098434003093</v>
      </c>
      <c r="AN1010" s="3">
        <f t="shared" si="54"/>
        <v>14.19394167530567</v>
      </c>
      <c r="AO1010" s="3">
        <f t="shared" si="55"/>
        <v>23.432864369268298</v>
      </c>
    </row>
    <row r="1011" spans="1:41" x14ac:dyDescent="0.3">
      <c r="A1011" s="2">
        <v>10.96114958953182</v>
      </c>
      <c r="B1011" s="2">
        <v>21.973374560770822</v>
      </c>
      <c r="C1011" s="2">
        <v>27.368347442878051</v>
      </c>
      <c r="AN1011" s="3">
        <f t="shared" si="54"/>
        <v>10.881951670138299</v>
      </c>
      <c r="AO1011" s="3">
        <f t="shared" si="55"/>
        <v>6.9116441438889602</v>
      </c>
    </row>
    <row r="1012" spans="1:41" x14ac:dyDescent="0.3">
      <c r="A1012" s="2">
        <v>4.5540912776963136</v>
      </c>
      <c r="B1012" s="2">
        <v>20.72362542264586</v>
      </c>
      <c r="C1012" s="2">
        <v>30.4579755122483</v>
      </c>
      <c r="AN1012" s="3">
        <f t="shared" si="54"/>
        <v>20.689120328665808</v>
      </c>
      <c r="AO1012" s="3">
        <f t="shared" si="55"/>
        <v>0.21217766745022754</v>
      </c>
    </row>
    <row r="1013" spans="1:41" x14ac:dyDescent="0.3">
      <c r="A1013" s="2">
        <v>9.3491660272713446</v>
      </c>
      <c r="B1013" s="2">
        <v>24.875971358754349</v>
      </c>
      <c r="C1013" s="2">
        <v>27.612932553371309</v>
      </c>
      <c r="AN1013" s="3">
        <f t="shared" si="54"/>
        <v>0.15696139158670869</v>
      </c>
      <c r="AO1013" s="3">
        <f t="shared" si="55"/>
        <v>5.6854372167034022</v>
      </c>
    </row>
    <row r="1014" spans="1:41" x14ac:dyDescent="0.3">
      <c r="A1014" s="2">
        <v>10.838025840427839</v>
      </c>
      <c r="B1014" s="2">
        <v>16.740243292204649</v>
      </c>
      <c r="C1014" s="2">
        <v>32.844886010399279</v>
      </c>
      <c r="AN1014" s="3">
        <f t="shared" si="54"/>
        <v>72.793515537498919</v>
      </c>
      <c r="AO1014" s="3">
        <f t="shared" si="55"/>
        <v>8.1084724882933426</v>
      </c>
    </row>
    <row r="1015" spans="1:41" x14ac:dyDescent="0.3">
      <c r="A1015" s="2">
        <v>0.74152859454481757</v>
      </c>
      <c r="B1015" s="2">
        <v>22.687922513742809</v>
      </c>
      <c r="C1015" s="2">
        <v>29.859226996422858</v>
      </c>
      <c r="AN1015" s="3">
        <f t="shared" si="54"/>
        <v>6.6782569820391009</v>
      </c>
      <c r="AO1015" s="3">
        <f t="shared" si="55"/>
        <v>1.9077422900619981E-2</v>
      </c>
    </row>
    <row r="1016" spans="1:41" x14ac:dyDescent="0.3">
      <c r="A1016" s="2">
        <v>1.153802316150859</v>
      </c>
      <c r="B1016" s="2">
        <v>27.853191038901091</v>
      </c>
      <c r="C1016" s="2">
        <v>32.047104787846997</v>
      </c>
      <c r="AN1016" s="3">
        <f t="shared" si="54"/>
        <v>6.6617475944002935</v>
      </c>
      <c r="AO1016" s="3">
        <f t="shared" si="55"/>
        <v>4.2015027220529992</v>
      </c>
    </row>
    <row r="1017" spans="1:41" x14ac:dyDescent="0.3">
      <c r="A1017" s="2">
        <v>1.4242931942662289</v>
      </c>
      <c r="B1017" s="2">
        <v>20.925419639547599</v>
      </c>
      <c r="C1017" s="2">
        <v>29.541038219301669</v>
      </c>
      <c r="AN1017" s="3">
        <f t="shared" si="54"/>
        <v>18.894107350213346</v>
      </c>
      <c r="AO1017" s="3">
        <f t="shared" si="55"/>
        <v>0.20821865319844124</v>
      </c>
    </row>
    <row r="1018" spans="1:41" x14ac:dyDescent="0.3">
      <c r="A1018" s="2">
        <v>27.03145129636847</v>
      </c>
      <c r="B1018" s="2">
        <v>30.374008338543572</v>
      </c>
      <c r="C1018" s="2">
        <v>29.840708285023251</v>
      </c>
      <c r="AN1018" s="3">
        <f t="shared" si="54"/>
        <v>26.028908595523948</v>
      </c>
      <c r="AO1018" s="3">
        <f t="shared" si="55"/>
        <v>2.4536013090693008E-2</v>
      </c>
    </row>
    <row r="1019" spans="1:41" x14ac:dyDescent="0.3">
      <c r="A1019" s="2">
        <v>7.8284396124561697</v>
      </c>
      <c r="B1019" s="2">
        <v>29.22831202250655</v>
      </c>
      <c r="C1019" s="2">
        <v>34.856244196574671</v>
      </c>
      <c r="AN1019" s="3">
        <f t="shared" si="54"/>
        <v>15.651179245534676</v>
      </c>
      <c r="AO1019" s="3">
        <f t="shared" si="55"/>
        <v>23.608871852574172</v>
      </c>
    </row>
    <row r="1020" spans="1:41" x14ac:dyDescent="0.3">
      <c r="A1020" s="2">
        <v>10.4108253106682</v>
      </c>
      <c r="B1020" s="2">
        <v>33.340829602771571</v>
      </c>
      <c r="C1020" s="2">
        <v>35.932811983822631</v>
      </c>
      <c r="AN1020" s="3">
        <f t="shared" si="54"/>
        <v>65.103511596967437</v>
      </c>
      <c r="AO1020" s="3">
        <f t="shared" si="55"/>
        <v>35.229732218887911</v>
      </c>
    </row>
    <row r="1021" spans="1:41" x14ac:dyDescent="0.3">
      <c r="A1021" s="2">
        <v>8.2170005022360861</v>
      </c>
      <c r="B1021" s="2">
        <v>24.76119649308874</v>
      </c>
      <c r="C1021" s="2">
        <v>28.882088267700968</v>
      </c>
      <c r="AN1021" s="3">
        <f t="shared" si="54"/>
        <v>0.26107848486558044</v>
      </c>
      <c r="AO1021" s="3">
        <f t="shared" si="55"/>
        <v>1.2438043614992635</v>
      </c>
    </row>
    <row r="1022" spans="1:41" x14ac:dyDescent="0.3">
      <c r="A1022" s="2">
        <v>9.4231336390182339</v>
      </c>
      <c r="B1022" s="2">
        <v>22.841675479680671</v>
      </c>
      <c r="C1022" s="2">
        <v>29.814016683458181</v>
      </c>
      <c r="AN1022" s="3">
        <f t="shared" si="54"/>
        <v>5.9072301710806112</v>
      </c>
      <c r="AO1022" s="3">
        <f t="shared" si="55"/>
        <v>3.3610386585839161E-2</v>
      </c>
    </row>
    <row r="1023" spans="1:41" x14ac:dyDescent="0.3">
      <c r="A1023" s="2">
        <v>6.4542652137832901</v>
      </c>
      <c r="B1023" s="2">
        <v>27.452785237414268</v>
      </c>
      <c r="C1023" s="2">
        <v>27.714467397022499</v>
      </c>
      <c r="AN1023" s="3">
        <f t="shared" si="54"/>
        <v>4.7551487056989501</v>
      </c>
      <c r="AO1023" s="3">
        <f t="shared" si="55"/>
        <v>5.2115440337469954</v>
      </c>
    </row>
    <row r="1024" spans="1:41" x14ac:dyDescent="0.3">
      <c r="A1024" s="2">
        <v>4.3119916955557782</v>
      </c>
      <c r="B1024" s="2">
        <v>22.99842147916117</v>
      </c>
      <c r="C1024" s="2">
        <v>29.35062013480314</v>
      </c>
      <c r="AN1024" s="3">
        <f t="shared" si="54"/>
        <v>5.1698636302016645</v>
      </c>
      <c r="AO1024" s="3">
        <f t="shared" si="55"/>
        <v>0.41825698439877113</v>
      </c>
    </row>
    <row r="1025" spans="1:41" x14ac:dyDescent="0.3">
      <c r="A1025" s="2">
        <v>7.7831449028054012</v>
      </c>
      <c r="B1025" s="2">
        <v>25.397422063861821</v>
      </c>
      <c r="C1025" s="2">
        <v>36.388671947246692</v>
      </c>
      <c r="AN1025" s="3">
        <f t="shared" si="54"/>
        <v>1.5691864481680792E-2</v>
      </c>
      <c r="AO1025" s="3">
        <f t="shared" si="55"/>
        <v>40.84902127708056</v>
      </c>
    </row>
    <row r="1026" spans="1:41" x14ac:dyDescent="0.3">
      <c r="A1026" s="2">
        <v>1.859894425610934</v>
      </c>
      <c r="B1026" s="2">
        <v>29.605217317696951</v>
      </c>
      <c r="C1026" s="2">
        <v>30.018169135297949</v>
      </c>
      <c r="AN1026" s="3">
        <f t="shared" si="54"/>
        <v>18.775429989671061</v>
      </c>
      <c r="AO1026" s="3">
        <f t="shared" si="55"/>
        <v>4.3351797597378878E-4</v>
      </c>
    </row>
    <row r="1027" spans="1:41" x14ac:dyDescent="0.3">
      <c r="A1027" s="2">
        <v>5.8387634381371436</v>
      </c>
      <c r="B1027" s="2">
        <v>34.645919193389147</v>
      </c>
      <c r="C1027" s="2">
        <v>34.65592770187147</v>
      </c>
      <c r="AN1027" s="3">
        <f t="shared" ref="AN1027:AN1090" si="56">(B1027-$AK$2)^2</f>
        <v>87.867457188131198</v>
      </c>
      <c r="AO1027" s="3">
        <f t="shared" ref="AO1027:AO1090" si="57">(C1027-$AK$3)^2</f>
        <v>21.702364458522201</v>
      </c>
    </row>
    <row r="1028" spans="1:41" x14ac:dyDescent="0.3">
      <c r="A1028" s="2">
        <v>22.885032021706611</v>
      </c>
      <c r="B1028" s="2">
        <v>25.066413478124229</v>
      </c>
      <c r="C1028" s="2">
        <v>34.455974847058073</v>
      </c>
      <c r="AN1028" s="3">
        <f t="shared" si="56"/>
        <v>4.2329529161181885E-2</v>
      </c>
      <c r="AO1028" s="3">
        <f t="shared" si="57"/>
        <v>19.879352997457637</v>
      </c>
    </row>
    <row r="1029" spans="1:41" x14ac:dyDescent="0.3">
      <c r="A1029" s="2">
        <v>25.262822535091939</v>
      </c>
      <c r="B1029" s="2">
        <v>29.41401437579658</v>
      </c>
      <c r="C1029" s="2">
        <v>24.6433160988297</v>
      </c>
      <c r="AN1029" s="3">
        <f t="shared" si="56"/>
        <v>17.154999987993278</v>
      </c>
      <c r="AO1029" s="3">
        <f t="shared" si="57"/>
        <v>28.665658035668791</v>
      </c>
    </row>
    <row r="1030" spans="1:41" x14ac:dyDescent="0.3">
      <c r="A1030" s="2">
        <v>5.009635104311557</v>
      </c>
      <c r="B1030" s="2">
        <v>28.992415057920461</v>
      </c>
      <c r="C1030" s="2">
        <v>30.61780410758006</v>
      </c>
      <c r="AN1030" s="3">
        <f t="shared" si="56"/>
        <v>13.84033570615637</v>
      </c>
      <c r="AO1030" s="3">
        <f t="shared" si="57"/>
        <v>0.38496573080064389</v>
      </c>
    </row>
    <row r="1031" spans="1:41" x14ac:dyDescent="0.3">
      <c r="A1031" s="2">
        <v>11.66193010853933</v>
      </c>
      <c r="B1031" s="2">
        <v>27.936072661955279</v>
      </c>
      <c r="C1031" s="2">
        <v>33.928878308319923</v>
      </c>
      <c r="AN1031" s="3">
        <f t="shared" si="56"/>
        <v>7.0964578879633713</v>
      </c>
      <c r="AO1031" s="3">
        <f t="shared" si="57"/>
        <v>15.45693024440286</v>
      </c>
    </row>
    <row r="1032" spans="1:41" x14ac:dyDescent="0.3">
      <c r="A1032" s="2">
        <v>2.2264732054236491</v>
      </c>
      <c r="B1032" s="2">
        <v>21.74645753170137</v>
      </c>
      <c r="C1032" s="2">
        <v>39.610283537265168</v>
      </c>
      <c r="AN1032" s="3">
        <f t="shared" si="56"/>
        <v>12.430541872605223</v>
      </c>
      <c r="AO1032" s="3">
        <f t="shared" si="57"/>
        <v>92.408528859145207</v>
      </c>
    </row>
    <row r="1033" spans="1:41" x14ac:dyDescent="0.3">
      <c r="A1033" s="2">
        <v>8.6222460565855368</v>
      </c>
      <c r="B1033" s="2">
        <v>29.485847926132809</v>
      </c>
      <c r="C1033" s="2">
        <v>38.867287177773328</v>
      </c>
      <c r="AN1033" s="3">
        <f t="shared" si="56"/>
        <v>17.755208990454626</v>
      </c>
      <c r="AO1033" s="3">
        <f t="shared" si="57"/>
        <v>78.675820293560562</v>
      </c>
    </row>
    <row r="1034" spans="1:41" x14ac:dyDescent="0.3">
      <c r="A1034" s="2">
        <v>3.6440928476398509</v>
      </c>
      <c r="B1034" s="2">
        <v>24.71914973919538</v>
      </c>
      <c r="C1034" s="2">
        <v>31.69189085294072</v>
      </c>
      <c r="AN1034" s="3">
        <f t="shared" si="56"/>
        <v>0.30581469843062736</v>
      </c>
      <c r="AO1034" s="3">
        <f t="shared" si="57"/>
        <v>2.871475342168115</v>
      </c>
    </row>
    <row r="1035" spans="1:41" x14ac:dyDescent="0.3">
      <c r="A1035" s="2">
        <v>1.0824317006143429</v>
      </c>
      <c r="B1035" s="2">
        <v>25.717156372565132</v>
      </c>
      <c r="C1035" s="2">
        <v>24.761717487533812</v>
      </c>
      <c r="AN1035" s="3">
        <f t="shared" si="56"/>
        <v>0.19802631818623401</v>
      </c>
      <c r="AO1035" s="3">
        <f t="shared" si="57"/>
        <v>27.411827290324272</v>
      </c>
    </row>
    <row r="1036" spans="1:41" x14ac:dyDescent="0.3">
      <c r="A1036" s="2">
        <v>23.799573523248039</v>
      </c>
      <c r="B1036" s="2">
        <v>25.045571514110989</v>
      </c>
      <c r="C1036" s="2">
        <v>31.20142336284054</v>
      </c>
      <c r="AN1036" s="3">
        <f t="shared" si="56"/>
        <v>5.1340026890643375E-2</v>
      </c>
      <c r="AO1036" s="3">
        <f t="shared" si="57"/>
        <v>1.4497973811401634</v>
      </c>
    </row>
    <row r="1037" spans="1:41" x14ac:dyDescent="0.3">
      <c r="A1037" s="2">
        <v>4.1644386794751611</v>
      </c>
      <c r="B1037" s="2">
        <v>19.966514689548131</v>
      </c>
      <c r="C1037" s="2">
        <v>28.935877147394422</v>
      </c>
      <c r="AN1037" s="3">
        <f t="shared" si="56"/>
        <v>28.149817952137781</v>
      </c>
      <c r="AO1037" s="3">
        <f t="shared" si="57"/>
        <v>1.1267204575532901</v>
      </c>
    </row>
    <row r="1038" spans="1:41" x14ac:dyDescent="0.3">
      <c r="A1038" s="2">
        <v>23.996982200598861</v>
      </c>
      <c r="B1038" s="2">
        <v>27.28658305316867</v>
      </c>
      <c r="C1038" s="2">
        <v>21.470246068299989</v>
      </c>
      <c r="AN1038" s="3">
        <f t="shared" si="56"/>
        <v>4.0579208186871121</v>
      </c>
      <c r="AO1038" s="3">
        <f t="shared" si="57"/>
        <v>72.711468049462198</v>
      </c>
    </row>
    <row r="1039" spans="1:41" x14ac:dyDescent="0.3">
      <c r="A1039" s="2">
        <v>25.979129214595918</v>
      </c>
      <c r="B1039" s="2">
        <v>18.630628623186471</v>
      </c>
      <c r="C1039" s="2">
        <v>41.548584693709898</v>
      </c>
      <c r="AN1039" s="3">
        <f t="shared" si="56"/>
        <v>44.109871172160247</v>
      </c>
      <c r="AO1039" s="3">
        <f t="shared" si="57"/>
        <v>133.43106821146318</v>
      </c>
    </row>
    <row r="1040" spans="1:41" x14ac:dyDescent="0.3">
      <c r="A1040" s="2">
        <v>8.6358113299972636</v>
      </c>
      <c r="B1040" s="2">
        <v>21.821006723261721</v>
      </c>
      <c r="C1040" s="2">
        <v>30.891868263075601</v>
      </c>
      <c r="AN1040" s="3">
        <f t="shared" si="56"/>
        <v>11.910423678854666</v>
      </c>
      <c r="AO1040" s="3">
        <f t="shared" si="57"/>
        <v>0.80016642805488924</v>
      </c>
    </row>
    <row r="1041" spans="1:41" x14ac:dyDescent="0.3">
      <c r="A1041" s="2">
        <v>11.87255378406768</v>
      </c>
      <c r="B1041" s="2">
        <v>20.10714390248738</v>
      </c>
      <c r="C1041" s="2">
        <v>28.296039455561971</v>
      </c>
      <c r="AN1041" s="3">
        <f t="shared" si="56"/>
        <v>26.677338516202436</v>
      </c>
      <c r="AO1041" s="3">
        <f t="shared" si="57"/>
        <v>2.8944509022143268</v>
      </c>
    </row>
    <row r="1042" spans="1:41" x14ac:dyDescent="0.3">
      <c r="A1042" s="2">
        <v>11.874993098931</v>
      </c>
      <c r="B1042" s="2">
        <v>22.240871748815149</v>
      </c>
      <c r="C1042" s="2">
        <v>33.055839835924417</v>
      </c>
      <c r="AN1042" s="3">
        <f t="shared" si="56"/>
        <v>9.1886774908796234</v>
      </c>
      <c r="AO1042" s="3">
        <f t="shared" si="57"/>
        <v>9.3543720608259342</v>
      </c>
    </row>
    <row r="1043" spans="1:41" x14ac:dyDescent="0.3">
      <c r="A1043" s="2">
        <v>2.2774586143412998</v>
      </c>
      <c r="B1043" s="2">
        <v>24.515473252755029</v>
      </c>
      <c r="C1043" s="2">
        <v>30.408411705189121</v>
      </c>
      <c r="AN1043" s="3">
        <f t="shared" si="56"/>
        <v>0.57256710235243524</v>
      </c>
      <c r="AO1043" s="3">
        <f t="shared" si="57"/>
        <v>0.16897333617866725</v>
      </c>
    </row>
    <row r="1044" spans="1:41" x14ac:dyDescent="0.3">
      <c r="A1044" s="2">
        <v>20.730493748528751</v>
      </c>
      <c r="B1044" s="2">
        <v>25.201463441401799</v>
      </c>
      <c r="C1044" s="2">
        <v>20.655150238596949</v>
      </c>
      <c r="AN1044" s="3">
        <f t="shared" si="56"/>
        <v>4.997281111255969E-3</v>
      </c>
      <c r="AO1044" s="3">
        <f t="shared" si="57"/>
        <v>87.276659775540793</v>
      </c>
    </row>
    <row r="1045" spans="1:41" x14ac:dyDescent="0.3">
      <c r="A1045" s="2">
        <v>15.31468088987806</v>
      </c>
      <c r="B1045" s="2">
        <v>25.879506762038311</v>
      </c>
      <c r="C1045" s="2">
        <v>23.268758585566811</v>
      </c>
      <c r="AN1045" s="3">
        <f t="shared" si="56"/>
        <v>0.36887629469561883</v>
      </c>
      <c r="AO1045" s="3">
        <f t="shared" si="57"/>
        <v>45.273916057113631</v>
      </c>
    </row>
    <row r="1046" spans="1:41" x14ac:dyDescent="0.3">
      <c r="A1046" s="2">
        <v>1.8860166382447949</v>
      </c>
      <c r="B1046" s="2">
        <v>28.749583236138861</v>
      </c>
      <c r="C1046" s="2">
        <v>31.78943459736438</v>
      </c>
      <c r="AN1046" s="3">
        <f t="shared" si="56"/>
        <v>12.092507892379659</v>
      </c>
      <c r="AO1046" s="3">
        <f t="shared" si="57"/>
        <v>3.2115742262085574</v>
      </c>
    </row>
    <row r="1047" spans="1:41" x14ac:dyDescent="0.3">
      <c r="A1047" s="2">
        <v>32.923906376480502</v>
      </c>
      <c r="B1047" s="2">
        <v>20.907207184721319</v>
      </c>
      <c r="C1047" s="2">
        <v>31.104999731477282</v>
      </c>
      <c r="AN1047" s="3">
        <f t="shared" si="56"/>
        <v>19.052768482558633</v>
      </c>
      <c r="AO1047" s="3">
        <f t="shared" si="57"/>
        <v>1.2268922678539238</v>
      </c>
    </row>
    <row r="1048" spans="1:41" x14ac:dyDescent="0.3">
      <c r="A1048" s="2">
        <v>7.4562408460885967</v>
      </c>
      <c r="B1048" s="2">
        <v>23.55093905555205</v>
      </c>
      <c r="C1048" s="2">
        <v>31.705108302692331</v>
      </c>
      <c r="AN1048" s="3">
        <f t="shared" si="56"/>
        <v>2.9625839537784744</v>
      </c>
      <c r="AO1048" s="3">
        <f t="shared" si="57"/>
        <v>2.9164451120888231</v>
      </c>
    </row>
    <row r="1049" spans="1:41" x14ac:dyDescent="0.3">
      <c r="A1049" s="2">
        <v>15.54732816303089</v>
      </c>
      <c r="B1049" s="2">
        <v>21.096107513790908</v>
      </c>
      <c r="C1049" s="2">
        <v>34.001329881543882</v>
      </c>
      <c r="AN1049" s="3">
        <f t="shared" si="56"/>
        <v>17.439371700532458</v>
      </c>
      <c r="AO1049" s="3">
        <f t="shared" si="57"/>
        <v>16.031870580983927</v>
      </c>
    </row>
    <row r="1050" spans="1:41" x14ac:dyDescent="0.3">
      <c r="A1050" s="2">
        <v>16.739524068708761</v>
      </c>
      <c r="B1050" s="2">
        <v>26.258845167054261</v>
      </c>
      <c r="C1050" s="2">
        <v>30.405730350609769</v>
      </c>
      <c r="AN1050" s="3">
        <f t="shared" si="56"/>
        <v>0.97355769995332775</v>
      </c>
      <c r="AO1050" s="3">
        <f t="shared" si="57"/>
        <v>0.16677611096323314</v>
      </c>
    </row>
    <row r="1051" spans="1:41" x14ac:dyDescent="0.3">
      <c r="A1051" s="2">
        <v>1.70212759709646</v>
      </c>
      <c r="B1051" s="2">
        <v>23.7374568029032</v>
      </c>
      <c r="C1051" s="2">
        <v>31.137724300910801</v>
      </c>
      <c r="AN1051" s="3">
        <f t="shared" si="56"/>
        <v>2.3552982230182646</v>
      </c>
      <c r="AO1051" s="3">
        <f t="shared" si="57"/>
        <v>1.3004580146177931</v>
      </c>
    </row>
    <row r="1052" spans="1:41" x14ac:dyDescent="0.3">
      <c r="A1052" s="2">
        <v>0.59288661979398771</v>
      </c>
      <c r="B1052" s="2">
        <v>36.955904716076077</v>
      </c>
      <c r="C1052" s="2">
        <v>29.63513435781439</v>
      </c>
      <c r="AN1052" s="3">
        <f t="shared" si="56"/>
        <v>136.51000996422863</v>
      </c>
      <c r="AO1052" s="3">
        <f t="shared" si="57"/>
        <v>0.13119875214406534</v>
      </c>
    </row>
    <row r="1053" spans="1:41" x14ac:dyDescent="0.3">
      <c r="A1053" s="2">
        <v>3.1456278192079039</v>
      </c>
      <c r="B1053" s="2">
        <v>25.44819728259154</v>
      </c>
      <c r="C1053" s="2">
        <v>31.674296241835702</v>
      </c>
      <c r="AN1053" s="3">
        <f t="shared" si="56"/>
        <v>3.0990923475497222E-2</v>
      </c>
      <c r="AO1053" s="3">
        <f t="shared" si="57"/>
        <v>2.8121552689473126</v>
      </c>
    </row>
    <row r="1054" spans="1:41" x14ac:dyDescent="0.3">
      <c r="A1054" s="2">
        <v>0.92068874890711494</v>
      </c>
      <c r="B1054" s="2">
        <v>22.953408914356402</v>
      </c>
      <c r="C1054" s="2">
        <v>30.655266913683061</v>
      </c>
      <c r="AN1054" s="3">
        <f t="shared" si="56"/>
        <v>5.3765829063316559</v>
      </c>
      <c r="AO1054" s="3">
        <f t="shared" si="57"/>
        <v>0.43285724329196518</v>
      </c>
    </row>
    <row r="1055" spans="1:41" x14ac:dyDescent="0.3">
      <c r="A1055" s="2">
        <v>2.9802313131200671</v>
      </c>
      <c r="B1055" s="2">
        <v>16.287762437404581</v>
      </c>
      <c r="C1055" s="2">
        <v>26.036643784197171</v>
      </c>
      <c r="AN1055" s="3">
        <f t="shared" si="56"/>
        <v>80.719307768478401</v>
      </c>
      <c r="AO1055" s="3">
        <f t="shared" si="57"/>
        <v>15.687178208294355</v>
      </c>
    </row>
    <row r="1056" spans="1:41" x14ac:dyDescent="0.3">
      <c r="A1056" s="2">
        <v>12.615694925726871</v>
      </c>
      <c r="B1056" s="2">
        <v>27.188959054824519</v>
      </c>
      <c r="C1056" s="2">
        <v>31.335468531422581</v>
      </c>
      <c r="AN1056" s="3">
        <f t="shared" si="56"/>
        <v>3.6741382006935908</v>
      </c>
      <c r="AO1056" s="3">
        <f t="shared" si="57"/>
        <v>1.790566447416386</v>
      </c>
    </row>
    <row r="1057" spans="1:41" x14ac:dyDescent="0.3">
      <c r="A1057" s="2">
        <v>3.4298310525927689</v>
      </c>
      <c r="B1057" s="2">
        <v>25.82611449900913</v>
      </c>
      <c r="C1057" s="2">
        <v>28.633434430088549</v>
      </c>
      <c r="AN1057" s="3">
        <f t="shared" si="56"/>
        <v>0.30687124679657457</v>
      </c>
      <c r="AO1057" s="3">
        <f t="shared" si="57"/>
        <v>1.8602603374917257</v>
      </c>
    </row>
    <row r="1058" spans="1:41" x14ac:dyDescent="0.3">
      <c r="A1058" s="2">
        <v>25.362071162548791</v>
      </c>
      <c r="B1058" s="2">
        <v>25.009630118047859</v>
      </c>
      <c r="C1058" s="2">
        <v>29.678364677078442</v>
      </c>
      <c r="AN1058" s="3">
        <f t="shared" si="56"/>
        <v>6.8919256654816866E-2</v>
      </c>
      <c r="AO1058" s="3">
        <f t="shared" si="57"/>
        <v>0.1017503863329392</v>
      </c>
    </row>
    <row r="1059" spans="1:41" x14ac:dyDescent="0.3">
      <c r="A1059" s="2">
        <v>1.450088844020897</v>
      </c>
      <c r="B1059" s="2">
        <v>26.835936498565921</v>
      </c>
      <c r="C1059" s="2">
        <v>32.201548222049809</v>
      </c>
      <c r="AN1059" s="3">
        <f t="shared" si="56"/>
        <v>2.4454129147244403</v>
      </c>
      <c r="AO1059" s="3">
        <f t="shared" si="57"/>
        <v>4.8584984390091188</v>
      </c>
    </row>
    <row r="1060" spans="1:41" x14ac:dyDescent="0.3">
      <c r="A1060" s="2">
        <v>4.9577583527818634</v>
      </c>
      <c r="B1060" s="2">
        <v>30.463969545041468</v>
      </c>
      <c r="C1060" s="2">
        <v>29.52414774850531</v>
      </c>
      <c r="AN1060" s="3">
        <f t="shared" si="56"/>
        <v>26.954939397148781</v>
      </c>
      <c r="AO1060" s="3">
        <f t="shared" si="57"/>
        <v>0.22391851663047835</v>
      </c>
    </row>
    <row r="1061" spans="1:41" x14ac:dyDescent="0.3">
      <c r="A1061" s="2">
        <v>3.0484441310772281</v>
      </c>
      <c r="B1061" s="2">
        <v>21.26084872289913</v>
      </c>
      <c r="C1061" s="2">
        <v>34.236219080204798</v>
      </c>
      <c r="AN1061" s="3">
        <f t="shared" si="56"/>
        <v>16.090577177930221</v>
      </c>
      <c r="AO1061" s="3">
        <f t="shared" si="57"/>
        <v>17.968027688680536</v>
      </c>
    </row>
    <row r="1062" spans="1:41" x14ac:dyDescent="0.3">
      <c r="A1062" s="2">
        <v>16.826484163875779</v>
      </c>
      <c r="B1062" s="2">
        <v>24.15389631261964</v>
      </c>
      <c r="C1062" s="2">
        <v>37.732318756584149</v>
      </c>
      <c r="AN1062" s="3">
        <f t="shared" si="56"/>
        <v>1.2505022491488729</v>
      </c>
      <c r="AO1062" s="3">
        <f t="shared" si="57"/>
        <v>59.829771973994241</v>
      </c>
    </row>
    <row r="1063" spans="1:41" x14ac:dyDescent="0.3">
      <c r="A1063" s="2">
        <v>24.485515930031589</v>
      </c>
      <c r="B1063" s="2">
        <v>30.431886051542211</v>
      </c>
      <c r="C1063" s="2">
        <v>27.128203450104731</v>
      </c>
      <c r="AN1063" s="3">
        <f t="shared" si="56"/>
        <v>26.622825644328802</v>
      </c>
      <c r="AO1063" s="3">
        <f t="shared" si="57"/>
        <v>8.2319906823322828</v>
      </c>
    </row>
    <row r="1064" spans="1:41" x14ac:dyDescent="0.3">
      <c r="A1064" s="2">
        <v>2.3867342589578362</v>
      </c>
      <c r="B1064" s="2">
        <v>26.131261802331149</v>
      </c>
      <c r="C1064" s="2">
        <v>26.5915465114835</v>
      </c>
      <c r="AN1064" s="3">
        <f t="shared" si="56"/>
        <v>0.73806468430748229</v>
      </c>
      <c r="AO1064" s="3">
        <f t="shared" si="57"/>
        <v>11.599484057114033</v>
      </c>
    </row>
    <row r="1065" spans="1:41" x14ac:dyDescent="0.3">
      <c r="A1065" s="2">
        <v>14.409192274548831</v>
      </c>
      <c r="B1065" s="2">
        <v>31.120251664081021</v>
      </c>
      <c r="C1065" s="2">
        <v>29.301868384385742</v>
      </c>
      <c r="AN1065" s="3">
        <f t="shared" si="56"/>
        <v>34.200235861946616</v>
      </c>
      <c r="AO1065" s="3">
        <f t="shared" si="57"/>
        <v>0.48369195249006103</v>
      </c>
    </row>
    <row r="1066" spans="1:41" x14ac:dyDescent="0.3">
      <c r="A1066" s="2">
        <v>11.620861198416691</v>
      </c>
      <c r="B1066" s="2">
        <v>26.638574462667869</v>
      </c>
      <c r="C1066" s="2">
        <v>22.735677681441619</v>
      </c>
      <c r="AN1066" s="3">
        <f t="shared" si="56"/>
        <v>1.8671024445813482</v>
      </c>
      <c r="AO1066" s="3">
        <f t="shared" si="57"/>
        <v>52.731856408025493</v>
      </c>
    </row>
    <row r="1067" spans="1:41" x14ac:dyDescent="0.3">
      <c r="A1067" s="2">
        <v>15.457627928345151</v>
      </c>
      <c r="B1067" s="2">
        <v>26.441966055980561</v>
      </c>
      <c r="C1067" s="2">
        <v>28.18507032980499</v>
      </c>
      <c r="AN1067" s="3">
        <f t="shared" si="56"/>
        <v>1.3684581606381956</v>
      </c>
      <c r="AO1067" s="3">
        <f t="shared" si="57"/>
        <v>3.2843505017796479</v>
      </c>
    </row>
    <row r="1068" spans="1:41" x14ac:dyDescent="0.3">
      <c r="A1068" s="2">
        <v>18.291291991345091</v>
      </c>
      <c r="B1068" s="2">
        <v>20.431228361479331</v>
      </c>
      <c r="C1068" s="2">
        <v>32.101348169244623</v>
      </c>
      <c r="AN1068" s="3">
        <f t="shared" si="56"/>
        <v>23.434569668665535</v>
      </c>
      <c r="AO1068" s="3">
        <f t="shared" si="57"/>
        <v>4.4268165404829931</v>
      </c>
    </row>
    <row r="1069" spans="1:41" x14ac:dyDescent="0.3">
      <c r="A1069" s="2">
        <v>1.3302379856452631</v>
      </c>
      <c r="B1069" s="2">
        <v>39.162600875968288</v>
      </c>
      <c r="C1069" s="2">
        <v>32.779678556649287</v>
      </c>
      <c r="AN1069" s="3">
        <f t="shared" si="56"/>
        <v>192.94448964855718</v>
      </c>
      <c r="AO1069" s="3">
        <f t="shared" si="57"/>
        <v>7.7413630994102931</v>
      </c>
    </row>
    <row r="1070" spans="1:41" x14ac:dyDescent="0.3">
      <c r="A1070" s="2">
        <v>34.282814581374822</v>
      </c>
      <c r="B1070" s="2">
        <v>22.178861401494029</v>
      </c>
      <c r="C1070" s="2">
        <v>35.437501814753311</v>
      </c>
      <c r="AN1070" s="3">
        <f t="shared" si="56"/>
        <v>9.5684646150625703</v>
      </c>
      <c r="AO1070" s="3">
        <f t="shared" si="57"/>
        <v>29.595273084227429</v>
      </c>
    </row>
    <row r="1071" spans="1:41" x14ac:dyDescent="0.3">
      <c r="A1071" s="2">
        <v>1.9574609961311671</v>
      </c>
      <c r="B1071" s="2">
        <v>22.62758250367672</v>
      </c>
      <c r="C1071" s="2">
        <v>25.89704189761736</v>
      </c>
      <c r="AN1071" s="3">
        <f t="shared" si="56"/>
        <v>6.9937631142229471</v>
      </c>
      <c r="AO1071" s="3">
        <f t="shared" si="57"/>
        <v>16.812510467844682</v>
      </c>
    </row>
    <row r="1072" spans="1:41" x14ac:dyDescent="0.3">
      <c r="A1072" s="2">
        <v>1.996202345733693</v>
      </c>
      <c r="B1072" s="2">
        <v>21.54656294074557</v>
      </c>
      <c r="C1072" s="2">
        <v>28.861771134663329</v>
      </c>
      <c r="AN1072" s="3">
        <f t="shared" si="56"/>
        <v>13.880035383224191</v>
      </c>
      <c r="AO1072" s="3">
        <f t="shared" si="57"/>
        <v>1.2895349097574107</v>
      </c>
    </row>
    <row r="1073" spans="1:41" x14ac:dyDescent="0.3">
      <c r="A1073" s="2">
        <v>6.5685383913887581</v>
      </c>
      <c r="B1073" s="2">
        <v>21.475036669577381</v>
      </c>
      <c r="C1073" s="2">
        <v>26.619853526853881</v>
      </c>
      <c r="AN1073" s="3">
        <f t="shared" si="56"/>
        <v>14.418106790948983</v>
      </c>
      <c r="AO1073" s="3">
        <f t="shared" si="57"/>
        <v>11.407469191755395</v>
      </c>
    </row>
    <row r="1074" spans="1:41" x14ac:dyDescent="0.3">
      <c r="A1074" s="2">
        <v>0.97452865950270595</v>
      </c>
      <c r="B1074" s="2">
        <v>21.12194303402319</v>
      </c>
      <c r="C1074" s="2">
        <v>23.449006878602869</v>
      </c>
      <c r="AN1074" s="3">
        <f t="shared" si="56"/>
        <v>17.224258461604688</v>
      </c>
      <c r="AO1074" s="3">
        <f t="shared" si="57"/>
        <v>42.880771976562613</v>
      </c>
    </row>
    <row r="1075" spans="1:41" x14ac:dyDescent="0.3">
      <c r="A1075" s="2">
        <v>49.543358000709802</v>
      </c>
      <c r="B1075" s="2">
        <v>16.42294187531429</v>
      </c>
      <c r="C1075" s="2">
        <v>32.343710589692058</v>
      </c>
      <c r="AN1075" s="3">
        <f t="shared" si="56"/>
        <v>78.308571005113237</v>
      </c>
      <c r="AO1075" s="3">
        <f t="shared" si="57"/>
        <v>5.5054172108298562</v>
      </c>
    </row>
    <row r="1076" spans="1:41" x14ac:dyDescent="0.3">
      <c r="A1076" s="2">
        <v>11.143424356227269</v>
      </c>
      <c r="B1076" s="2">
        <v>21.651946765708828</v>
      </c>
      <c r="C1076" s="2">
        <v>38.316297718681042</v>
      </c>
      <c r="AN1076" s="3">
        <f t="shared" si="56"/>
        <v>13.105906873750962</v>
      </c>
      <c r="AO1076" s="3">
        <f t="shared" si="57"/>
        <v>69.204923743069656</v>
      </c>
    </row>
    <row r="1077" spans="1:41" x14ac:dyDescent="0.3">
      <c r="A1077" s="2">
        <v>15.431592709591831</v>
      </c>
      <c r="B1077" s="2">
        <v>32.515245199882209</v>
      </c>
      <c r="C1077" s="2">
        <v>31.058534297259651</v>
      </c>
      <c r="AN1077" s="3">
        <f t="shared" si="56"/>
        <v>52.46235721596743</v>
      </c>
      <c r="AO1077" s="3">
        <f t="shared" si="57"/>
        <v>1.1261162708927972</v>
      </c>
    </row>
    <row r="1078" spans="1:41" x14ac:dyDescent="0.3">
      <c r="A1078" s="2">
        <v>2.432076226604944</v>
      </c>
      <c r="B1078" s="2">
        <v>28.896764574451669</v>
      </c>
      <c r="C1078" s="2">
        <v>25.981509466237409</v>
      </c>
      <c r="AN1078" s="3">
        <f t="shared" si="56"/>
        <v>13.137795354040824</v>
      </c>
      <c r="AO1078" s="3">
        <f t="shared" si="57"/>
        <v>16.126959456967807</v>
      </c>
    </row>
    <row r="1079" spans="1:41" x14ac:dyDescent="0.3">
      <c r="A1079" s="2">
        <v>10.94839713246094</v>
      </c>
      <c r="B1079" s="2">
        <v>26.492462842060661</v>
      </c>
      <c r="C1079" s="2">
        <v>26.096524821690611</v>
      </c>
      <c r="AN1079" s="3">
        <f t="shared" si="56"/>
        <v>1.4891514943004824</v>
      </c>
      <c r="AO1079" s="3">
        <f t="shared" si="57"/>
        <v>15.216421786765181</v>
      </c>
    </row>
    <row r="1080" spans="1:41" x14ac:dyDescent="0.3">
      <c r="A1080" s="2">
        <v>2.0561861398344501</v>
      </c>
      <c r="B1080" s="2">
        <v>19.770646938156691</v>
      </c>
      <c r="C1080" s="2">
        <v>26.014979030045719</v>
      </c>
      <c r="AN1080" s="3">
        <f t="shared" si="56"/>
        <v>30.266589760253712</v>
      </c>
      <c r="AO1080" s="3">
        <f t="shared" si="57"/>
        <v>15.859262937838741</v>
      </c>
    </row>
    <row r="1081" spans="1:41" x14ac:dyDescent="0.3">
      <c r="A1081" s="2">
        <v>9.3894247950234391</v>
      </c>
      <c r="B1081" s="2">
        <v>28.89440866294467</v>
      </c>
      <c r="C1081" s="2">
        <v>27.477875535329069</v>
      </c>
      <c r="AN1081" s="3">
        <f t="shared" si="56"/>
        <v>13.120722385038768</v>
      </c>
      <c r="AO1081" s="3">
        <f t="shared" si="57"/>
        <v>6.3477417058383381</v>
      </c>
    </row>
    <row r="1082" spans="1:41" x14ac:dyDescent="0.3">
      <c r="A1082" s="2">
        <v>13.00830040343253</v>
      </c>
      <c r="B1082" s="2">
        <v>25.96101063148609</v>
      </c>
      <c r="C1082" s="2">
        <v>37.376804928888568</v>
      </c>
      <c r="AN1082" s="3">
        <f t="shared" si="56"/>
        <v>0.47452223056762438</v>
      </c>
      <c r="AO1082" s="3">
        <f t="shared" si="57"/>
        <v>54.456383963115726</v>
      </c>
    </row>
    <row r="1083" spans="1:41" x14ac:dyDescent="0.3">
      <c r="A1083" s="2">
        <v>3.8724394709461851</v>
      </c>
      <c r="B1083" s="2">
        <v>28.868110317769599</v>
      </c>
      <c r="C1083" s="2">
        <v>39.494475818294127</v>
      </c>
      <c r="AN1083" s="3">
        <f t="shared" si="56"/>
        <v>12.93089542800927</v>
      </c>
      <c r="AO1083" s="3">
        <f t="shared" si="57"/>
        <v>90.195436021996372</v>
      </c>
    </row>
    <row r="1084" spans="1:41" x14ac:dyDescent="0.3">
      <c r="A1084" s="2">
        <v>29.043470085578061</v>
      </c>
      <c r="B1084" s="2">
        <v>32.662914862451871</v>
      </c>
      <c r="C1084" s="2">
        <v>35.838644714472771</v>
      </c>
      <c r="AN1084" s="3">
        <f t="shared" si="56"/>
        <v>54.623332948823609</v>
      </c>
      <c r="AO1084" s="3">
        <f t="shared" si="57"/>
        <v>34.120746829827269</v>
      </c>
    </row>
    <row r="1085" spans="1:41" x14ac:dyDescent="0.3">
      <c r="A1085" s="2">
        <v>1.517702059032038</v>
      </c>
      <c r="B1085" s="2">
        <v>25.663563422382989</v>
      </c>
      <c r="C1085" s="2">
        <v>25.109554855131059</v>
      </c>
      <c r="AN1085" s="3">
        <f t="shared" si="56"/>
        <v>0.15320063807970846</v>
      </c>
      <c r="AO1085" s="3">
        <f t="shared" si="57"/>
        <v>23.890522225899613</v>
      </c>
    </row>
    <row r="1086" spans="1:41" x14ac:dyDescent="0.3">
      <c r="A1086" s="2">
        <v>1.718882732317506</v>
      </c>
      <c r="B1086" s="2">
        <v>29.611414556484402</v>
      </c>
      <c r="C1086" s="2">
        <v>28.513323963256632</v>
      </c>
      <c r="AN1086" s="3">
        <f t="shared" si="56"/>
        <v>18.829174440512293</v>
      </c>
      <c r="AO1086" s="3">
        <f t="shared" si="57"/>
        <v>2.2023274627369087</v>
      </c>
    </row>
    <row r="1087" spans="1:41" x14ac:dyDescent="0.3">
      <c r="A1087" s="2">
        <v>8.0285090923451747</v>
      </c>
      <c r="B1087" s="2">
        <v>20.048387465458909</v>
      </c>
      <c r="C1087" s="2">
        <v>37.006189988778999</v>
      </c>
      <c r="AN1087" s="3">
        <f t="shared" si="56"/>
        <v>27.287746120944515</v>
      </c>
      <c r="AO1087" s="3">
        <f t="shared" si="57"/>
        <v>49.123865451710081</v>
      </c>
    </row>
    <row r="1088" spans="1:41" x14ac:dyDescent="0.3">
      <c r="A1088" s="2">
        <v>2.5104584152117031</v>
      </c>
      <c r="B1088" s="2">
        <v>27.880097586076442</v>
      </c>
      <c r="C1088" s="2">
        <v>27.430424869072208</v>
      </c>
      <c r="AN1088" s="3">
        <f t="shared" si="56"/>
        <v>6.8013650984060394</v>
      </c>
      <c r="AO1088" s="3">
        <f t="shared" si="57"/>
        <v>6.5890945695677043</v>
      </c>
    </row>
    <row r="1089" spans="1:41" x14ac:dyDescent="0.3">
      <c r="A1089" s="2">
        <v>2.495427270047188</v>
      </c>
      <c r="B1089" s="2">
        <v>23.754021994804258</v>
      </c>
      <c r="C1089" s="2">
        <v>34.179582888340171</v>
      </c>
      <c r="AN1089" s="3">
        <f t="shared" si="56"/>
        <v>2.3047274919067391</v>
      </c>
      <c r="AO1089" s="3">
        <f t="shared" si="57"/>
        <v>17.491088319955509</v>
      </c>
    </row>
    <row r="1090" spans="1:41" x14ac:dyDescent="0.3">
      <c r="A1090" s="2">
        <v>6.5050225845469836</v>
      </c>
      <c r="B1090" s="2">
        <v>17.880623747912971</v>
      </c>
      <c r="C1090" s="2">
        <v>33.995736886749107</v>
      </c>
      <c r="AN1090" s="3">
        <f t="shared" si="56"/>
        <v>54.634732646017795</v>
      </c>
      <c r="AO1090" s="3">
        <f t="shared" si="57"/>
        <v>15.987113363387429</v>
      </c>
    </row>
    <row r="1091" spans="1:41" x14ac:dyDescent="0.3">
      <c r="A1091" s="2">
        <v>16.60690988285458</v>
      </c>
      <c r="B1091" s="2">
        <v>21.800292663824649</v>
      </c>
      <c r="C1091" s="2">
        <v>40.137653189287697</v>
      </c>
      <c r="AN1091" s="3">
        <f t="shared" ref="AN1091:AN1154" si="58">(B1091-$AK$2)^2</f>
        <v>12.053827327677409</v>
      </c>
      <c r="AO1091" s="3">
        <f t="shared" ref="AO1091:AO1154" si="59">(C1091-$AK$3)^2</f>
        <v>102.82578850438826</v>
      </c>
    </row>
    <row r="1092" spans="1:41" x14ac:dyDescent="0.3">
      <c r="A1092" s="2">
        <v>30.36349720148246</v>
      </c>
      <c r="B1092" s="2">
        <v>33.473817195790048</v>
      </c>
      <c r="C1092" s="2">
        <v>29.631120320735072</v>
      </c>
      <c r="AN1092" s="3">
        <f t="shared" si="58"/>
        <v>67.26726455427719</v>
      </c>
      <c r="AO1092" s="3">
        <f t="shared" si="59"/>
        <v>0.13412274294604418</v>
      </c>
    </row>
    <row r="1093" spans="1:41" x14ac:dyDescent="0.3">
      <c r="A1093" s="2">
        <v>25.73800436959063</v>
      </c>
      <c r="B1093" s="2">
        <v>25.658712393847871</v>
      </c>
      <c r="C1093" s="2">
        <v>34.572131977962712</v>
      </c>
      <c r="AN1093" s="3">
        <f t="shared" si="58"/>
        <v>0.14942670265275995</v>
      </c>
      <c r="AO1093" s="3">
        <f t="shared" si="59"/>
        <v>20.928648071695878</v>
      </c>
    </row>
    <row r="1094" spans="1:41" x14ac:dyDescent="0.3">
      <c r="A1094" s="2">
        <v>2.0737206879318468</v>
      </c>
      <c r="B1094" s="2">
        <v>25.122557629536612</v>
      </c>
      <c r="C1094" s="2">
        <v>35.61641245032925</v>
      </c>
      <c r="AN1094" s="3">
        <f t="shared" si="58"/>
        <v>2.2379340774815796E-2</v>
      </c>
      <c r="AO1094" s="3">
        <f t="shared" si="59"/>
        <v>31.573884838406251</v>
      </c>
    </row>
    <row r="1095" spans="1:41" x14ac:dyDescent="0.3">
      <c r="A1095" s="2">
        <v>10.03283516018535</v>
      </c>
      <c r="B1095" s="2">
        <v>21.352230146735611</v>
      </c>
      <c r="C1095" s="2">
        <v>31.422711800530379</v>
      </c>
      <c r="AN1095" s="3">
        <f t="shared" si="58"/>
        <v>15.365810004298401</v>
      </c>
      <c r="AO1095" s="3">
        <f t="shared" si="59"/>
        <v>2.0316618475445938</v>
      </c>
    </row>
    <row r="1096" spans="1:41" x14ac:dyDescent="0.3">
      <c r="A1096" s="2">
        <v>7.4498025596885888</v>
      </c>
      <c r="B1096" s="2">
        <v>29.405491359741941</v>
      </c>
      <c r="C1096" s="2">
        <v>21.62290856694791</v>
      </c>
      <c r="AN1096" s="3">
        <f t="shared" si="58"/>
        <v>17.084470360033819</v>
      </c>
      <c r="AO1096" s="3">
        <f t="shared" si="59"/>
        <v>70.131236501259835</v>
      </c>
    </row>
    <row r="1097" spans="1:41" x14ac:dyDescent="0.3">
      <c r="A1097" s="2">
        <v>10.536225358034351</v>
      </c>
      <c r="B1097" s="2">
        <v>24.647524106880631</v>
      </c>
      <c r="C1097" s="2">
        <v>29.23518149274744</v>
      </c>
      <c r="AN1097" s="3">
        <f t="shared" si="58"/>
        <v>0.39016361704357377</v>
      </c>
      <c r="AO1097" s="3">
        <f t="shared" si="59"/>
        <v>0.5808978469747017</v>
      </c>
    </row>
    <row r="1098" spans="1:41" x14ac:dyDescent="0.3">
      <c r="A1098" s="2">
        <v>11.25443375337116</v>
      </c>
      <c r="B1098" s="2">
        <v>20.236426004454739</v>
      </c>
      <c r="C1098" s="2">
        <v>34.575497139380801</v>
      </c>
      <c r="AN1098" s="3">
        <f t="shared" si="58"/>
        <v>25.358565423413896</v>
      </c>
      <c r="AO1098" s="3">
        <f t="shared" si="59"/>
        <v>20.959449168810089</v>
      </c>
    </row>
    <row r="1099" spans="1:41" x14ac:dyDescent="0.3">
      <c r="A1099" s="2">
        <v>34.40981770287253</v>
      </c>
      <c r="B1099" s="2">
        <v>25.16026991000939</v>
      </c>
      <c r="C1099" s="2">
        <v>41.335928948720898</v>
      </c>
      <c r="AN1099" s="3">
        <f t="shared" si="58"/>
        <v>1.251824907408439E-2</v>
      </c>
      <c r="AO1099" s="3">
        <f t="shared" si="59"/>
        <v>128.56341700540364</v>
      </c>
    </row>
    <row r="1100" spans="1:41" x14ac:dyDescent="0.3">
      <c r="A1100" s="2">
        <v>0.53797689774344759</v>
      </c>
      <c r="B1100" s="2">
        <v>30.58472474875888</v>
      </c>
      <c r="C1100" s="2">
        <v>25.537142174552152</v>
      </c>
      <c r="AN1100" s="3">
        <f t="shared" si="58"/>
        <v>28.223398488686293</v>
      </c>
      <c r="AO1100" s="3">
        <f t="shared" si="59"/>
        <v>19.893436369337156</v>
      </c>
    </row>
    <row r="1101" spans="1:41" x14ac:dyDescent="0.3">
      <c r="A1101" s="2">
        <v>6.5831441897597296</v>
      </c>
      <c r="B1101" s="2">
        <v>19.914455625129811</v>
      </c>
      <c r="C1101" s="2">
        <v>23.570848587235862</v>
      </c>
      <c r="AN1101" s="3">
        <f t="shared" si="58"/>
        <v>28.704941428429347</v>
      </c>
      <c r="AO1101" s="3">
        <f t="shared" si="59"/>
        <v>41.299895226696819</v>
      </c>
    </row>
    <row r="1102" spans="1:41" x14ac:dyDescent="0.3">
      <c r="A1102" s="2">
        <v>8.9487409857391249</v>
      </c>
      <c r="B1102" s="2">
        <v>36.684391312018548</v>
      </c>
      <c r="C1102" s="2">
        <v>33.524809162040853</v>
      </c>
      <c r="AN1102" s="3">
        <f t="shared" si="58"/>
        <v>130.23914011873509</v>
      </c>
      <c r="AO1102" s="3">
        <f t="shared" si="59"/>
        <v>12.442981961845659</v>
      </c>
    </row>
    <row r="1103" spans="1:41" x14ac:dyDescent="0.3">
      <c r="A1103" s="2">
        <v>2.7478195960722598</v>
      </c>
      <c r="B1103" s="2">
        <v>27.59958024993453</v>
      </c>
      <c r="C1103" s="2">
        <v>30.858822279264739</v>
      </c>
      <c r="AN1103" s="3">
        <f t="shared" si="58"/>
        <v>5.4169087992727665</v>
      </c>
      <c r="AO1103" s="3">
        <f t="shared" si="59"/>
        <v>0.74213786353348965</v>
      </c>
    </row>
    <row r="1104" spans="1:41" x14ac:dyDescent="0.3">
      <c r="A1104" s="2">
        <v>9.6063460412566801</v>
      </c>
      <c r="B1104" s="2">
        <v>25.741808209146051</v>
      </c>
      <c r="C1104" s="2">
        <v>28.66014078737825</v>
      </c>
      <c r="AN1104" s="3">
        <f t="shared" si="58"/>
        <v>0.22057423881401356</v>
      </c>
      <c r="AO1104" s="3">
        <f t="shared" si="59"/>
        <v>1.7881232386113666</v>
      </c>
    </row>
    <row r="1105" spans="1:41" x14ac:dyDescent="0.3">
      <c r="A1105" s="2">
        <v>12.436231826128051</v>
      </c>
      <c r="B1105" s="2">
        <v>24.72150174398411</v>
      </c>
      <c r="C1105" s="2">
        <v>35.03848626023052</v>
      </c>
      <c r="AN1105" s="3">
        <f t="shared" si="58"/>
        <v>0.30321888882451908</v>
      </c>
      <c r="AO1105" s="3">
        <f t="shared" si="59"/>
        <v>25.413074547374368</v>
      </c>
    </row>
    <row r="1106" spans="1:41" x14ac:dyDescent="0.3">
      <c r="A1106" s="2">
        <v>11.394837988479431</v>
      </c>
      <c r="B1106" s="2">
        <v>16.051580728518481</v>
      </c>
      <c r="C1106" s="2">
        <v>25.229543530689021</v>
      </c>
      <c r="AN1106" s="3">
        <f t="shared" si="58"/>
        <v>85.018987894294895</v>
      </c>
      <c r="AO1106" s="3">
        <f t="shared" si="59"/>
        <v>22.73195984666178</v>
      </c>
    </row>
    <row r="1107" spans="1:41" x14ac:dyDescent="0.3">
      <c r="A1107" s="2">
        <v>3.9294004714949309</v>
      </c>
      <c r="B1107" s="2">
        <v>32.692807490867082</v>
      </c>
      <c r="C1107" s="2">
        <v>24.380060905761781</v>
      </c>
      <c r="AN1107" s="3">
        <f t="shared" si="58"/>
        <v>55.066085001094976</v>
      </c>
      <c r="AO1107" s="3">
        <f t="shared" si="59"/>
        <v>31.553914757497921</v>
      </c>
    </row>
    <row r="1108" spans="1:41" x14ac:dyDescent="0.3">
      <c r="A1108" s="2">
        <v>16.383436257835839</v>
      </c>
      <c r="B1108" s="2">
        <v>22.66153315604674</v>
      </c>
      <c r="C1108" s="2">
        <v>39.275085474750313</v>
      </c>
      <c r="AN1108" s="3">
        <f t="shared" si="58"/>
        <v>6.8153458454093645</v>
      </c>
      <c r="AO1108" s="3">
        <f t="shared" si="59"/>
        <v>86.07641189327002</v>
      </c>
    </row>
    <row r="1109" spans="1:41" x14ac:dyDescent="0.3">
      <c r="A1109" s="2">
        <v>9.3075883061496043</v>
      </c>
      <c r="B1109" s="2">
        <v>30.494343220918239</v>
      </c>
      <c r="C1109" s="2">
        <v>32.10750284015765</v>
      </c>
      <c r="AN1109" s="3">
        <f t="shared" si="58"/>
        <v>27.271250948335386</v>
      </c>
      <c r="AO1109" s="3">
        <f t="shared" si="59"/>
        <v>4.4527532772400917</v>
      </c>
    </row>
    <row r="1110" spans="1:41" x14ac:dyDescent="0.3">
      <c r="A1110" s="2">
        <v>1.9393953178825569</v>
      </c>
      <c r="B1110" s="2">
        <v>20.468292643703109</v>
      </c>
      <c r="C1110" s="2">
        <v>35.746883291956387</v>
      </c>
      <c r="AN1110" s="3">
        <f t="shared" si="58"/>
        <v>23.077092495418785</v>
      </c>
      <c r="AO1110" s="3">
        <f t="shared" si="59"/>
        <v>33.057155604257147</v>
      </c>
    </row>
    <row r="1111" spans="1:41" x14ac:dyDescent="0.3">
      <c r="A1111" s="2">
        <v>4.6386877688122459</v>
      </c>
      <c r="B1111" s="2">
        <v>19.08239999593836</v>
      </c>
      <c r="C1111" s="2">
        <v>45.374755671905568</v>
      </c>
      <c r="AN1111" s="3">
        <f t="shared" si="58"/>
        <v>38.31306566662753</v>
      </c>
      <c r="AO1111" s="3">
        <f t="shared" si="59"/>
        <v>236.46466545309607</v>
      </c>
    </row>
    <row r="1112" spans="1:41" x14ac:dyDescent="0.3">
      <c r="A1112" s="2">
        <v>21.24020206129757</v>
      </c>
      <c r="B1112" s="2">
        <v>27.829519937689451</v>
      </c>
      <c r="C1112" s="2">
        <v>25.133351476186618</v>
      </c>
      <c r="AN1112" s="3">
        <f t="shared" si="58"/>
        <v>6.5401159796788804</v>
      </c>
      <c r="AO1112" s="3">
        <f t="shared" si="59"/>
        <v>23.658462580598517</v>
      </c>
    </row>
    <row r="1113" spans="1:41" x14ac:dyDescent="0.3">
      <c r="A1113" s="2">
        <v>7.7521132461060773</v>
      </c>
      <c r="B1113" s="2">
        <v>15.37978452287526</v>
      </c>
      <c r="C1113" s="2">
        <v>36.048681034133509</v>
      </c>
      <c r="AN1113" s="3">
        <f t="shared" si="58"/>
        <v>97.858991509242855</v>
      </c>
      <c r="AO1113" s="3">
        <f t="shared" si="59"/>
        <v>36.618630996172172</v>
      </c>
    </row>
    <row r="1114" spans="1:41" x14ac:dyDescent="0.3">
      <c r="A1114" s="2">
        <v>22.361916754708631</v>
      </c>
      <c r="B1114" s="2">
        <v>18.53939216006901</v>
      </c>
      <c r="C1114" s="2">
        <v>22.252281988231189</v>
      </c>
      <c r="AN1114" s="3">
        <f t="shared" si="58"/>
        <v>45.330093997200308</v>
      </c>
      <c r="AO1114" s="3">
        <f t="shared" si="59"/>
        <v>59.98604815869799</v>
      </c>
    </row>
    <row r="1115" spans="1:41" x14ac:dyDescent="0.3">
      <c r="A1115" s="2">
        <v>15.91221902399872</v>
      </c>
      <c r="B1115" s="2">
        <v>43.719791663797608</v>
      </c>
      <c r="C1115" s="2">
        <v>29.345370195347279</v>
      </c>
      <c r="AN1115" s="3">
        <f t="shared" si="58"/>
        <v>340.3153024841223</v>
      </c>
      <c r="AO1115" s="3">
        <f t="shared" si="59"/>
        <v>0.42507511096489065</v>
      </c>
    </row>
    <row r="1116" spans="1:41" x14ac:dyDescent="0.3">
      <c r="A1116" s="2">
        <v>4.4099716526598476</v>
      </c>
      <c r="B1116" s="2">
        <v>24.383618822422601</v>
      </c>
      <c r="C1116" s="2">
        <v>27.509895271275941</v>
      </c>
      <c r="AN1116" s="3">
        <f t="shared" si="58"/>
        <v>0.78949634597948826</v>
      </c>
      <c r="AO1116" s="3">
        <f t="shared" si="59"/>
        <v>6.187421280627099</v>
      </c>
    </row>
    <row r="1117" spans="1:41" x14ac:dyDescent="0.3">
      <c r="A1117" s="2">
        <v>8.6177687908092828</v>
      </c>
      <c r="B1117" s="2">
        <v>34.538151551512371</v>
      </c>
      <c r="C1117" s="2">
        <v>34.48124985717093</v>
      </c>
      <c r="AN1117" s="3">
        <f t="shared" si="58"/>
        <v>85.858694104111549</v>
      </c>
      <c r="AO1117" s="3">
        <f t="shared" si="59"/>
        <v>20.105375498828952</v>
      </c>
    </row>
    <row r="1118" spans="1:41" x14ac:dyDescent="0.3">
      <c r="A1118" s="2">
        <v>0.25097433747235398</v>
      </c>
      <c r="B1118" s="2">
        <v>26.423201081873181</v>
      </c>
      <c r="C1118" s="2">
        <v>32.44110194016897</v>
      </c>
      <c r="AN1118" s="3">
        <f t="shared" si="58"/>
        <v>1.3249073324659202</v>
      </c>
      <c r="AO1118" s="3">
        <f t="shared" si="59"/>
        <v>5.9719331206671091</v>
      </c>
    </row>
    <row r="1119" spans="1:41" x14ac:dyDescent="0.3">
      <c r="A1119" s="2">
        <v>29.265161651711178</v>
      </c>
      <c r="B1119" s="2">
        <v>17.865923873017181</v>
      </c>
      <c r="C1119" s="2">
        <v>36.524493561048033</v>
      </c>
      <c r="AN1119" s="3">
        <f t="shared" si="58"/>
        <v>54.852257898536685</v>
      </c>
      <c r="AO1119" s="3">
        <f t="shared" si="59"/>
        <v>42.603628642456734</v>
      </c>
    </row>
    <row r="1120" spans="1:41" x14ac:dyDescent="0.3">
      <c r="A1120" s="2">
        <v>1.26878424594142</v>
      </c>
      <c r="B1120" s="2">
        <v>23.746310973211951</v>
      </c>
      <c r="C1120" s="2">
        <v>37.484816319053813</v>
      </c>
      <c r="AN1120" s="3">
        <f t="shared" si="58"/>
        <v>2.3281996628529358</v>
      </c>
      <c r="AO1120" s="3">
        <f t="shared" si="59"/>
        <v>56.06218121781442</v>
      </c>
    </row>
    <row r="1121" spans="1:41" x14ac:dyDescent="0.3">
      <c r="A1121" s="2">
        <v>27.122885983488558</v>
      </c>
      <c r="B1121" s="2">
        <v>25.599329757913349</v>
      </c>
      <c r="C1121" s="2">
        <v>28.48622868957505</v>
      </c>
      <c r="AN1121" s="3">
        <f t="shared" si="58"/>
        <v>0.10704339323911453</v>
      </c>
      <c r="AO1121" s="3">
        <f t="shared" si="59"/>
        <v>2.2834816936551312</v>
      </c>
    </row>
    <row r="1122" spans="1:41" x14ac:dyDescent="0.3">
      <c r="A1122" s="2">
        <v>5.2458848923143986</v>
      </c>
      <c r="B1122" s="2">
        <v>23.47177487359486</v>
      </c>
      <c r="C1122" s="2">
        <v>25.926284994133969</v>
      </c>
      <c r="AN1122" s="3">
        <f t="shared" si="58"/>
        <v>3.2413682087261666</v>
      </c>
      <c r="AO1122" s="3">
        <f t="shared" si="59"/>
        <v>16.573554329952923</v>
      </c>
    </row>
    <row r="1123" spans="1:41" x14ac:dyDescent="0.3">
      <c r="A1123" s="2">
        <v>5.3566742861944636</v>
      </c>
      <c r="B1123" s="2">
        <v>34.073068710819243</v>
      </c>
      <c r="C1123" s="2">
        <v>33.755047813765827</v>
      </c>
      <c r="AN1123" s="3">
        <f t="shared" si="58"/>
        <v>77.456084055797845</v>
      </c>
      <c r="AO1123" s="3">
        <f t="shared" si="59"/>
        <v>14.120307583726001</v>
      </c>
    </row>
    <row r="1124" spans="1:41" x14ac:dyDescent="0.3">
      <c r="A1124" s="2">
        <v>11.623258551981991</v>
      </c>
      <c r="B1124" s="2">
        <v>28.725162166745939</v>
      </c>
      <c r="C1124" s="2">
        <v>40.381772703657219</v>
      </c>
      <c r="AN1124" s="3">
        <f t="shared" si="58"/>
        <v>11.923259243181295</v>
      </c>
      <c r="AO1124" s="3">
        <f t="shared" si="59"/>
        <v>107.83627557849805</v>
      </c>
    </row>
    <row r="1125" spans="1:41" x14ac:dyDescent="0.3">
      <c r="A1125" s="2">
        <v>37.175528720790751</v>
      </c>
      <c r="B1125" s="2">
        <v>25.315330034132991</v>
      </c>
      <c r="C1125" s="2">
        <v>32.744751710201491</v>
      </c>
      <c r="AN1125" s="3">
        <f t="shared" si="58"/>
        <v>1.864092944879025E-3</v>
      </c>
      <c r="AO1125" s="3">
        <f t="shared" si="59"/>
        <v>7.5482269226251111</v>
      </c>
    </row>
    <row r="1126" spans="1:41" x14ac:dyDescent="0.3">
      <c r="A1126" s="2">
        <v>21.93613893481675</v>
      </c>
      <c r="B1126" s="2">
        <v>18.365718730493711</v>
      </c>
      <c r="C1126" s="2">
        <v>28.545323170641261</v>
      </c>
      <c r="AN1126" s="3">
        <f t="shared" si="58"/>
        <v>47.698860445495427</v>
      </c>
      <c r="AO1126" s="3">
        <f t="shared" si="59"/>
        <v>2.1083762235677841</v>
      </c>
    </row>
    <row r="1127" spans="1:41" x14ac:dyDescent="0.3">
      <c r="A1127" s="2">
        <v>11.98939837172326</v>
      </c>
      <c r="B1127" s="2">
        <v>36.627747551566799</v>
      </c>
      <c r="C1127" s="2">
        <v>34.968130700825093</v>
      </c>
      <c r="AN1127" s="3">
        <f t="shared" si="58"/>
        <v>128.94948466228348</v>
      </c>
      <c r="AO1127" s="3">
        <f t="shared" si="59"/>
        <v>24.708680253177786</v>
      </c>
    </row>
    <row r="1128" spans="1:41" x14ac:dyDescent="0.3">
      <c r="A1128" s="2">
        <v>5.2419688706741763</v>
      </c>
      <c r="B1128" s="2">
        <v>24.844960130459381</v>
      </c>
      <c r="C1128" s="2">
        <v>33.279668183744711</v>
      </c>
      <c r="AN1128" s="3">
        <f t="shared" si="58"/>
        <v>0.18249536382592224</v>
      </c>
      <c r="AO1128" s="3">
        <f t="shared" si="59"/>
        <v>10.77362552076187</v>
      </c>
    </row>
    <row r="1129" spans="1:41" x14ac:dyDescent="0.3">
      <c r="A1129" s="2">
        <v>12.50066886427178</v>
      </c>
      <c r="B1129" s="2">
        <v>24.276229803869651</v>
      </c>
      <c r="C1129" s="2">
        <v>25.820808990131049</v>
      </c>
      <c r="AN1129" s="3">
        <f t="shared" si="58"/>
        <v>0.99186678009078622</v>
      </c>
      <c r="AO1129" s="3">
        <f t="shared" si="59"/>
        <v>17.443478441786525</v>
      </c>
    </row>
    <row r="1130" spans="1:41" x14ac:dyDescent="0.3">
      <c r="A1130" s="2">
        <v>2.510782431077148</v>
      </c>
      <c r="B1130" s="2">
        <v>21.875691171671189</v>
      </c>
      <c r="C1130" s="2">
        <v>30.170656370737259</v>
      </c>
      <c r="AN1130" s="3">
        <f t="shared" si="58"/>
        <v>11.535965799838037</v>
      </c>
      <c r="AO1130" s="3">
        <f t="shared" si="59"/>
        <v>3.00357772246534E-2</v>
      </c>
    </row>
    <row r="1131" spans="1:41" x14ac:dyDescent="0.3">
      <c r="A1131" s="2">
        <v>6.7969353698592597E-2</v>
      </c>
      <c r="B1131" s="2">
        <v>30.20782053656713</v>
      </c>
      <c r="C1131" s="2">
        <v>35.858630535778772</v>
      </c>
      <c r="AN1131" s="3">
        <f t="shared" si="58"/>
        <v>24.360795360296031</v>
      </c>
      <c r="AO1131" s="3">
        <f t="shared" si="59"/>
        <v>34.354632485911154</v>
      </c>
    </row>
    <row r="1132" spans="1:41" x14ac:dyDescent="0.3">
      <c r="A1132" s="2">
        <v>9.2745707774716895</v>
      </c>
      <c r="B1132" s="2">
        <v>24.97450983448929</v>
      </c>
      <c r="C1132" s="2">
        <v>29.521945378176291</v>
      </c>
      <c r="AN1132" s="3">
        <f t="shared" si="58"/>
        <v>8.8592579938781071E-2</v>
      </c>
      <c r="AO1132" s="3">
        <f t="shared" si="59"/>
        <v>0.2260076916324234</v>
      </c>
    </row>
    <row r="1133" spans="1:41" x14ac:dyDescent="0.3">
      <c r="A1133" s="2">
        <v>3.143498413563464</v>
      </c>
      <c r="B1133" s="2">
        <v>34.168622859344559</v>
      </c>
      <c r="C1133" s="2">
        <v>31.21327464311323</v>
      </c>
      <c r="AN1133" s="3">
        <f t="shared" si="58"/>
        <v>79.147142303605477</v>
      </c>
      <c r="AO1133" s="3">
        <f t="shared" si="59"/>
        <v>1.4784775022060626</v>
      </c>
    </row>
    <row r="1134" spans="1:41" x14ac:dyDescent="0.3">
      <c r="A1134" s="2">
        <v>0.73218738697851571</v>
      </c>
      <c r="B1134" s="2">
        <v>30.3832326994889</v>
      </c>
      <c r="C1134" s="2">
        <v>23.954938643331971</v>
      </c>
      <c r="AN1134" s="3">
        <f t="shared" si="58"/>
        <v>26.12311635973094</v>
      </c>
      <c r="AO1134" s="3">
        <f t="shared" si="59"/>
        <v>36.510711326644405</v>
      </c>
    </row>
    <row r="1135" spans="1:41" x14ac:dyDescent="0.3">
      <c r="A1135" s="2">
        <v>0.1963914218292494</v>
      </c>
      <c r="B1135" s="2">
        <v>19.137839306729401</v>
      </c>
      <c r="C1135" s="2">
        <v>35.197672944518828</v>
      </c>
      <c r="AN1135" s="3">
        <f t="shared" si="58"/>
        <v>37.629827693062197</v>
      </c>
      <c r="AO1135" s="3">
        <f t="shared" si="59"/>
        <v>27.043379104208583</v>
      </c>
    </row>
    <row r="1136" spans="1:41" x14ac:dyDescent="0.3">
      <c r="A1136" s="2">
        <v>1.3178333701574529</v>
      </c>
      <c r="B1136" s="2">
        <v>24.441252510974891</v>
      </c>
      <c r="C1136" s="2">
        <v>21.87821913545416</v>
      </c>
      <c r="AN1136" s="3">
        <f t="shared" si="58"/>
        <v>0.69039876589493709</v>
      </c>
      <c r="AO1136" s="3">
        <f t="shared" si="59"/>
        <v>65.920254181668653</v>
      </c>
    </row>
    <row r="1137" spans="1:41" x14ac:dyDescent="0.3">
      <c r="A1137" s="2">
        <v>8.2452311658679847E-2</v>
      </c>
      <c r="B1137" s="2">
        <v>34.746523542805299</v>
      </c>
      <c r="C1137" s="2">
        <v>26.892216411335848</v>
      </c>
      <c r="AN1137" s="3">
        <f t="shared" si="58"/>
        <v>89.763661341604617</v>
      </c>
      <c r="AO1137" s="3">
        <f t="shared" si="59"/>
        <v>9.6418424363164057</v>
      </c>
    </row>
    <row r="1138" spans="1:41" x14ac:dyDescent="0.3">
      <c r="A1138" s="2">
        <v>0.75383722014379984</v>
      </c>
      <c r="B1138" s="2">
        <v>19.264475621734562</v>
      </c>
      <c r="C1138" s="2">
        <v>24.690938411204542</v>
      </c>
      <c r="AN1138" s="3">
        <f t="shared" si="58"/>
        <v>36.092210207882388</v>
      </c>
      <c r="AO1138" s="3">
        <f t="shared" si="59"/>
        <v>28.157983157093671</v>
      </c>
    </row>
    <row r="1139" spans="1:41" x14ac:dyDescent="0.3">
      <c r="A1139" s="2">
        <v>9.4367286849309053</v>
      </c>
      <c r="B1139" s="2">
        <v>20.272415948492672</v>
      </c>
      <c r="C1139" s="2">
        <v>28.487771421331018</v>
      </c>
      <c r="AN1139" s="3">
        <f t="shared" si="58"/>
        <v>24.997389497818745</v>
      </c>
      <c r="AO1139" s="3">
        <f t="shared" si="59"/>
        <v>2.2788215700560071</v>
      </c>
    </row>
    <row r="1140" spans="1:41" x14ac:dyDescent="0.3">
      <c r="A1140" s="2">
        <v>0.32024304115327329</v>
      </c>
      <c r="B1140" s="2">
        <v>28.028094148877582</v>
      </c>
      <c r="C1140" s="2">
        <v>28.1849064940387</v>
      </c>
      <c r="AN1140" s="3">
        <f t="shared" si="58"/>
        <v>7.595201190578301</v>
      </c>
      <c r="AO1140" s="3">
        <f t="shared" si="59"/>
        <v>3.2849443604368314</v>
      </c>
    </row>
    <row r="1141" spans="1:41" x14ac:dyDescent="0.3">
      <c r="A1141" s="2">
        <v>0.13951600507634709</v>
      </c>
      <c r="B1141" s="2">
        <v>19.986632629939891</v>
      </c>
      <c r="C1141" s="2">
        <v>32.931551343034428</v>
      </c>
      <c r="AN1141" s="3">
        <f t="shared" si="58"/>
        <v>27.936745577019032</v>
      </c>
      <c r="AO1141" s="3">
        <f t="shared" si="59"/>
        <v>8.609549018826689</v>
      </c>
    </row>
    <row r="1142" spans="1:41" x14ac:dyDescent="0.3">
      <c r="A1142" s="2">
        <v>13.09868376505192</v>
      </c>
      <c r="B1142" s="2">
        <v>30.527366594556629</v>
      </c>
      <c r="C1142" s="2">
        <v>31.8442153784741</v>
      </c>
      <c r="AN1142" s="3">
        <f t="shared" si="58"/>
        <v>27.617250044369353</v>
      </c>
      <c r="AO1142" s="3">
        <f t="shared" si="59"/>
        <v>3.4109189629568863</v>
      </c>
    </row>
    <row r="1143" spans="1:41" x14ac:dyDescent="0.3">
      <c r="A1143" s="2">
        <v>19.560574177193001</v>
      </c>
      <c r="B1143" s="2">
        <v>23.300843116036059</v>
      </c>
      <c r="C1143" s="2">
        <v>33.44173977589795</v>
      </c>
      <c r="AN1143" s="3">
        <f t="shared" si="58"/>
        <v>3.8860701159229931</v>
      </c>
      <c r="AO1143" s="3">
        <f t="shared" si="59"/>
        <v>11.863834424791426</v>
      </c>
    </row>
    <row r="1144" spans="1:41" x14ac:dyDescent="0.3">
      <c r="A1144" s="2">
        <v>24.057209233081931</v>
      </c>
      <c r="B1144" s="2">
        <v>29.677843902586371</v>
      </c>
      <c r="C1144" s="2">
        <v>31.831157631048171</v>
      </c>
      <c r="AN1144" s="3">
        <f t="shared" si="58"/>
        <v>19.410095662764345</v>
      </c>
      <c r="AO1144" s="3">
        <f t="shared" si="59"/>
        <v>3.3628576132757075</v>
      </c>
    </row>
    <row r="1145" spans="1:41" x14ac:dyDescent="0.3">
      <c r="A1145" s="2">
        <v>15.50954824608708</v>
      </c>
      <c r="B1145" s="2">
        <v>30.02816156046325</v>
      </c>
      <c r="C1145" s="2">
        <v>23.182710276383631</v>
      </c>
      <c r="AN1145" s="3">
        <f t="shared" si="58"/>
        <v>22.619599435608446</v>
      </c>
      <c r="AO1145" s="3">
        <f t="shared" si="59"/>
        <v>46.439287860248591</v>
      </c>
    </row>
    <row r="1146" spans="1:41" x14ac:dyDescent="0.3">
      <c r="A1146" s="2">
        <v>50.859978605040162</v>
      </c>
      <c r="B1146" s="2">
        <v>29.552615989892271</v>
      </c>
      <c r="C1146" s="2">
        <v>30.68874924367352</v>
      </c>
      <c r="AN1146" s="3">
        <f t="shared" si="58"/>
        <v>18.322347215196551</v>
      </c>
      <c r="AO1146" s="3">
        <f t="shared" si="59"/>
        <v>0.47803562333100752</v>
      </c>
    </row>
    <row r="1147" spans="1:41" x14ac:dyDescent="0.3">
      <c r="A1147" s="2">
        <v>3.0364101995700521</v>
      </c>
      <c r="B1147" s="2">
        <v>20.018203281115749</v>
      </c>
      <c r="C1147" s="2">
        <v>26.278889680900281</v>
      </c>
      <c r="AN1147" s="3">
        <f t="shared" si="58"/>
        <v>27.604007523833364</v>
      </c>
      <c r="AO1147" s="3">
        <f t="shared" si="59"/>
        <v>13.826932574329311</v>
      </c>
    </row>
    <row r="1148" spans="1:41" x14ac:dyDescent="0.3">
      <c r="A1148" s="2">
        <v>1.820391591850739</v>
      </c>
      <c r="B1148" s="2">
        <v>34.034856995993017</v>
      </c>
      <c r="C1148" s="2">
        <v>20.25291562981765</v>
      </c>
      <c r="AN1148" s="3">
        <f t="shared" si="58"/>
        <v>76.784948172796689</v>
      </c>
      <c r="AO1148" s="3">
        <f t="shared" si="59"/>
        <v>94.953963012258868</v>
      </c>
    </row>
    <row r="1149" spans="1:41" x14ac:dyDescent="0.3">
      <c r="A1149" s="2">
        <v>10.122708893602709</v>
      </c>
      <c r="B1149" s="2">
        <v>25.719644399479801</v>
      </c>
      <c r="C1149" s="2">
        <v>32.781344682349157</v>
      </c>
      <c r="AN1149" s="3">
        <f t="shared" si="58"/>
        <v>0.20024685978827922</v>
      </c>
      <c r="AO1149" s="3">
        <f t="shared" si="59"/>
        <v>7.7506373001411113</v>
      </c>
    </row>
    <row r="1150" spans="1:41" x14ac:dyDescent="0.3">
      <c r="A1150" s="2">
        <v>2.031815931407452</v>
      </c>
      <c r="B1150" s="2">
        <v>27.389498484072661</v>
      </c>
      <c r="C1150" s="2">
        <v>29.252959695823719</v>
      </c>
      <c r="AN1150" s="3">
        <f t="shared" si="58"/>
        <v>4.4831438891801403</v>
      </c>
      <c r="AO1150" s="3">
        <f t="shared" si="59"/>
        <v>0.5541140081407715</v>
      </c>
    </row>
    <row r="1151" spans="1:41" x14ac:dyDescent="0.3">
      <c r="A1151" s="2">
        <v>0.34755698910550609</v>
      </c>
      <c r="B1151" s="2">
        <v>33.52438318117057</v>
      </c>
      <c r="C1151" s="2">
        <v>26.28788948053904</v>
      </c>
      <c r="AN1151" s="3">
        <f t="shared" si="58"/>
        <v>68.099271745508219</v>
      </c>
      <c r="AO1151" s="3">
        <f t="shared" si="59"/>
        <v>13.760082810314472</v>
      </c>
    </row>
    <row r="1152" spans="1:41" x14ac:dyDescent="0.3">
      <c r="A1152" s="2">
        <v>5.0469867775561106</v>
      </c>
      <c r="B1152" s="2">
        <v>29.300469622477621</v>
      </c>
      <c r="C1152" s="2">
        <v>26.436706687206591</v>
      </c>
      <c r="AN1152" s="3">
        <f t="shared" si="58"/>
        <v>16.227319572137851</v>
      </c>
      <c r="AO1152" s="3">
        <f t="shared" si="59"/>
        <v>12.678166848939808</v>
      </c>
    </row>
    <row r="1153" spans="1:41" x14ac:dyDescent="0.3">
      <c r="A1153" s="2">
        <v>0.73264382399851047</v>
      </c>
      <c r="B1153" s="2">
        <v>16.76124101894295</v>
      </c>
      <c r="C1153" s="2">
        <v>32.348845925345927</v>
      </c>
      <c r="AN1153" s="3">
        <f t="shared" si="58"/>
        <v>72.43565494539412</v>
      </c>
      <c r="AO1153" s="3">
        <f t="shared" si="59"/>
        <v>5.5295423010105589</v>
      </c>
    </row>
    <row r="1154" spans="1:41" x14ac:dyDescent="0.3">
      <c r="A1154" s="2">
        <v>6.9446936213158672</v>
      </c>
      <c r="B1154" s="2">
        <v>28.523535491323798</v>
      </c>
      <c r="C1154" s="2">
        <v>27.44817859406648</v>
      </c>
      <c r="AN1154" s="3">
        <f t="shared" si="58"/>
        <v>10.57147580517413</v>
      </c>
      <c r="AO1154" s="3">
        <f t="shared" si="59"/>
        <v>6.4982648681742186</v>
      </c>
    </row>
    <row r="1155" spans="1:41" x14ac:dyDescent="0.3">
      <c r="A1155" s="2">
        <v>5.990597998113369</v>
      </c>
      <c r="B1155" s="2">
        <v>28.65024327419184</v>
      </c>
      <c r="C1155" s="2">
        <v>27.410127475720259</v>
      </c>
      <c r="AN1155" s="3">
        <f t="shared" ref="AN1155:AN1218" si="60">(B1155-$AK$2)^2</f>
        <v>11.411481121551413</v>
      </c>
      <c r="AO1155" s="3">
        <f t="shared" ref="AO1155:AO1218" si="61">(C1155-$AK$3)^2</f>
        <v>6.6937102523862899</v>
      </c>
    </row>
    <row r="1156" spans="1:41" x14ac:dyDescent="0.3">
      <c r="A1156" s="2">
        <v>25.033858858211619</v>
      </c>
      <c r="B1156" s="2">
        <v>35.279261291697587</v>
      </c>
      <c r="C1156" s="2">
        <v>37.611410294519843</v>
      </c>
      <c r="AN1156" s="3">
        <f t="shared" si="60"/>
        <v>100.14217850568672</v>
      </c>
      <c r="AO1156" s="3">
        <f t="shared" si="61"/>
        <v>57.973944003477868</v>
      </c>
    </row>
    <row r="1157" spans="1:41" x14ac:dyDescent="0.3">
      <c r="A1157" s="2">
        <v>1.277717005141729</v>
      </c>
      <c r="B1157" s="2">
        <v>34.021325827527171</v>
      </c>
      <c r="C1157" s="2">
        <v>33.983047443010868</v>
      </c>
      <c r="AN1157" s="3">
        <f t="shared" si="60"/>
        <v>76.547992068531798</v>
      </c>
      <c r="AO1157" s="3">
        <f t="shared" si="61"/>
        <v>15.885799724761341</v>
      </c>
    </row>
    <row r="1158" spans="1:41" x14ac:dyDescent="0.3">
      <c r="A1158" s="2">
        <v>4.9151523325907434</v>
      </c>
      <c r="B1158" s="2">
        <v>34.613976095497222</v>
      </c>
      <c r="C1158" s="2">
        <v>31.05830579046761</v>
      </c>
      <c r="AN1158" s="3">
        <f t="shared" si="60"/>
        <v>87.269623408209384</v>
      </c>
      <c r="AO1158" s="3">
        <f t="shared" si="61"/>
        <v>1.1256313465737091</v>
      </c>
    </row>
    <row r="1159" spans="1:41" x14ac:dyDescent="0.3">
      <c r="A1159" s="2">
        <v>5.0496267549730209</v>
      </c>
      <c r="B1159" s="2">
        <v>14.944187494918991</v>
      </c>
      <c r="C1159" s="2">
        <v>22.87498898552759</v>
      </c>
      <c r="AN1159" s="3">
        <f t="shared" si="60"/>
        <v>106.6669105440031</v>
      </c>
      <c r="AO1159" s="3">
        <f t="shared" si="61"/>
        <v>50.727998512261507</v>
      </c>
    </row>
    <row r="1160" spans="1:41" x14ac:dyDescent="0.3">
      <c r="A1160" s="2">
        <v>2.026210326755546</v>
      </c>
      <c r="B1160" s="2">
        <v>18.659643511036631</v>
      </c>
      <c r="C1160" s="2">
        <v>35.683950853230677</v>
      </c>
      <c r="AN1160" s="3">
        <f t="shared" si="60"/>
        <v>43.725306756221542</v>
      </c>
      <c r="AO1160" s="3">
        <f t="shared" si="61"/>
        <v>32.337451546312053</v>
      </c>
    </row>
    <row r="1161" spans="1:41" x14ac:dyDescent="0.3">
      <c r="A1161" s="2">
        <v>12.578874512321651</v>
      </c>
      <c r="B1161" s="2">
        <v>25.865919085684951</v>
      </c>
      <c r="C1161" s="2">
        <v>29.654180826461761</v>
      </c>
      <c r="AN1161" s="3">
        <f t="shared" si="60"/>
        <v>0.35255591834423605</v>
      </c>
      <c r="AO1161" s="3">
        <f t="shared" si="61"/>
        <v>0.11776373699862359</v>
      </c>
    </row>
    <row r="1162" spans="1:41" x14ac:dyDescent="0.3">
      <c r="A1162" s="2">
        <v>20.63823896798171</v>
      </c>
      <c r="B1162" s="2">
        <v>25.304315403293369</v>
      </c>
      <c r="C1162" s="2">
        <v>32.812802713882007</v>
      </c>
      <c r="AN1162" s="3">
        <f t="shared" si="60"/>
        <v>1.0342985214184723E-3</v>
      </c>
      <c r="AO1162" s="3">
        <f t="shared" si="61"/>
        <v>7.9267850161632563</v>
      </c>
    </row>
    <row r="1163" spans="1:41" x14ac:dyDescent="0.3">
      <c r="A1163" s="2">
        <v>1.611412672758759</v>
      </c>
      <c r="B1163" s="2">
        <v>17.597691387799969</v>
      </c>
      <c r="C1163" s="2">
        <v>30.98329529613023</v>
      </c>
      <c r="AN1163" s="3">
        <f t="shared" si="60"/>
        <v>58.897390069001638</v>
      </c>
      <c r="AO1163" s="3">
        <f t="shared" si="61"/>
        <v>0.97209199028759041</v>
      </c>
    </row>
    <row r="1164" spans="1:41" x14ac:dyDescent="0.3">
      <c r="A1164" s="2">
        <v>7.7103951076528841</v>
      </c>
      <c r="B1164" s="2">
        <v>18.429198294877029</v>
      </c>
      <c r="C1164" s="2">
        <v>31.612954227728061</v>
      </c>
      <c r="AN1164" s="3">
        <f t="shared" si="60"/>
        <v>46.826054982711121</v>
      </c>
      <c r="AO1164" s="3">
        <f t="shared" si="61"/>
        <v>2.6101833512310137</v>
      </c>
    </row>
    <row r="1165" spans="1:41" x14ac:dyDescent="0.3">
      <c r="A1165" s="2">
        <v>2.1681042378724111</v>
      </c>
      <c r="B1165" s="2">
        <v>26.824924198065471</v>
      </c>
      <c r="C1165" s="2">
        <v>34.037055893491143</v>
      </c>
      <c r="AN1165" s="3">
        <f t="shared" si="60"/>
        <v>2.4110925195376858</v>
      </c>
      <c r="AO1165" s="3">
        <f t="shared" si="61"/>
        <v>16.319239535071446</v>
      </c>
    </row>
    <row r="1166" spans="1:41" x14ac:dyDescent="0.3">
      <c r="A1166" s="2">
        <v>14.38374016180081</v>
      </c>
      <c r="B1166" s="2">
        <v>28.389183172455979</v>
      </c>
      <c r="C1166" s="2">
        <v>26.815978941811561</v>
      </c>
      <c r="AN1166" s="3">
        <f t="shared" si="60"/>
        <v>9.7158653045320627</v>
      </c>
      <c r="AO1166" s="3">
        <f t="shared" si="61"/>
        <v>10.121109344016652</v>
      </c>
    </row>
    <row r="1167" spans="1:41" x14ac:dyDescent="0.3">
      <c r="A1167" s="2">
        <v>2.8648196915394181E-2</v>
      </c>
      <c r="B1167" s="2">
        <v>21.986521092248189</v>
      </c>
      <c r="C1167" s="2">
        <v>30.77335148526533</v>
      </c>
      <c r="AN1167" s="3">
        <f t="shared" si="60"/>
        <v>10.795389462519545</v>
      </c>
      <c r="AO1167" s="3">
        <f t="shared" si="61"/>
        <v>0.60218134581763105</v>
      </c>
    </row>
    <row r="1168" spans="1:41" x14ac:dyDescent="0.3">
      <c r="A1168" s="2">
        <v>2.9306281434564849</v>
      </c>
      <c r="B1168" s="2">
        <v>27.44646911052283</v>
      </c>
      <c r="C1168" s="2">
        <v>26.014239011141221</v>
      </c>
      <c r="AN1168" s="3">
        <f t="shared" si="60"/>
        <v>4.7276423232211178</v>
      </c>
      <c r="AO1168" s="3">
        <f t="shared" si="61"/>
        <v>15.865157542172014</v>
      </c>
    </row>
    <row r="1169" spans="1:41" x14ac:dyDescent="0.3">
      <c r="A1169" s="2">
        <v>0.4478030203169292</v>
      </c>
      <c r="B1169" s="2">
        <v>36.844917103480107</v>
      </c>
      <c r="C1169" s="2">
        <v>31.6006053515821</v>
      </c>
      <c r="AN1169" s="3">
        <f t="shared" si="60"/>
        <v>133.92882521597281</v>
      </c>
      <c r="AO1169" s="3">
        <f t="shared" si="61"/>
        <v>2.5704340045671086</v>
      </c>
    </row>
    <row r="1170" spans="1:41" x14ac:dyDescent="0.3">
      <c r="A1170" s="2">
        <v>25.235412211469271</v>
      </c>
      <c r="B1170" s="2">
        <v>26.062807831629069</v>
      </c>
      <c r="C1170" s="2">
        <v>30.398524115140169</v>
      </c>
      <c r="AN1170" s="3">
        <f t="shared" si="60"/>
        <v>0.6251320717988339</v>
      </c>
      <c r="AO1170" s="3">
        <f t="shared" si="61"/>
        <v>0.16094224262070134</v>
      </c>
    </row>
    <row r="1171" spans="1:41" x14ac:dyDescent="0.3">
      <c r="A1171" s="2">
        <v>18.24993560096177</v>
      </c>
      <c r="B1171" s="2">
        <v>30.4117340689778</v>
      </c>
      <c r="C1171" s="2">
        <v>30.167363131499741</v>
      </c>
      <c r="AN1171" s="3">
        <f t="shared" si="60"/>
        <v>26.415274121980012</v>
      </c>
      <c r="AO1171" s="3">
        <f t="shared" si="61"/>
        <v>2.8905131064671515E-2</v>
      </c>
    </row>
    <row r="1172" spans="1:41" x14ac:dyDescent="0.3">
      <c r="A1172" s="2">
        <v>8.5612586527109134</v>
      </c>
      <c r="B1172" s="2">
        <v>23.335099042582929</v>
      </c>
      <c r="C1172" s="2">
        <v>28.128881500516648</v>
      </c>
      <c r="AN1172" s="3">
        <f t="shared" si="60"/>
        <v>3.7521853616668119</v>
      </c>
      <c r="AO1172" s="3">
        <f t="shared" si="61"/>
        <v>3.4911672121690933</v>
      </c>
    </row>
    <row r="1173" spans="1:41" x14ac:dyDescent="0.3">
      <c r="A1173" s="2">
        <v>3.5019358402887062</v>
      </c>
      <c r="B1173" s="2">
        <v>24.868499713466878</v>
      </c>
      <c r="C1173" s="2">
        <v>24.7380868590886</v>
      </c>
      <c r="AN1173" s="3">
        <f t="shared" si="60"/>
        <v>0.16293750272022958</v>
      </c>
      <c r="AO1173" s="3">
        <f t="shared" si="61"/>
        <v>27.659828177486382</v>
      </c>
    </row>
    <row r="1174" spans="1:41" x14ac:dyDescent="0.3">
      <c r="A1174" s="2">
        <v>4.9240148879881289</v>
      </c>
      <c r="B1174" s="2">
        <v>21.253237600673781</v>
      </c>
      <c r="C1174" s="2">
        <v>33.263161134150188</v>
      </c>
      <c r="AN1174" s="3">
        <f t="shared" si="60"/>
        <v>16.151696190176168</v>
      </c>
      <c r="AO1174" s="3">
        <f t="shared" si="61"/>
        <v>10.6655351606789</v>
      </c>
    </row>
    <row r="1175" spans="1:41" x14ac:dyDescent="0.3">
      <c r="A1175" s="2">
        <v>4.5948573489781976</v>
      </c>
      <c r="B1175" s="2">
        <v>31.542273793908649</v>
      </c>
      <c r="C1175" s="2">
        <v>28.498874503119659</v>
      </c>
      <c r="AN1175" s="3">
        <f t="shared" si="60"/>
        <v>39.314391050850517</v>
      </c>
      <c r="AO1175" s="3">
        <f t="shared" si="61"/>
        <v>2.2454229431367829</v>
      </c>
    </row>
    <row r="1176" spans="1:41" x14ac:dyDescent="0.3">
      <c r="A1176" s="2">
        <v>0.33982110554286099</v>
      </c>
      <c r="B1176" s="2">
        <v>39.456774367807093</v>
      </c>
      <c r="C1176" s="2">
        <v>23.784634753792471</v>
      </c>
      <c r="AN1176" s="3">
        <f t="shared" si="60"/>
        <v>201.20342968878035</v>
      </c>
      <c r="AO1176" s="3">
        <f t="shared" si="61"/>
        <v>38.59780638659533</v>
      </c>
    </row>
    <row r="1177" spans="1:41" x14ac:dyDescent="0.3">
      <c r="A1177" s="2">
        <v>7.4783008976825407</v>
      </c>
      <c r="B1177" s="2">
        <v>28.094027097458959</v>
      </c>
      <c r="C1177" s="2">
        <v>32.435036746848837</v>
      </c>
      <c r="AN1177" s="3">
        <f t="shared" si="60"/>
        <v>7.9629627469924298</v>
      </c>
      <c r="AO1177" s="3">
        <f t="shared" si="61"/>
        <v>5.942326227584152</v>
      </c>
    </row>
    <row r="1178" spans="1:41" x14ac:dyDescent="0.3">
      <c r="A1178" s="2">
        <v>26.077741144010741</v>
      </c>
      <c r="B1178" s="2">
        <v>28.305419708393529</v>
      </c>
      <c r="C1178" s="2">
        <v>31.28876371878761</v>
      </c>
      <c r="AN1178" s="3">
        <f t="shared" si="60"/>
        <v>9.2006954496500217</v>
      </c>
      <c r="AO1178" s="3">
        <f t="shared" si="61"/>
        <v>1.6677544533448341</v>
      </c>
    </row>
    <row r="1179" spans="1:41" x14ac:dyDescent="0.3">
      <c r="A1179" s="2">
        <v>7.8084896653802947</v>
      </c>
      <c r="B1179" s="2">
        <v>27.287344188639459</v>
      </c>
      <c r="C1179" s="2">
        <v>35.03048126492488</v>
      </c>
      <c r="AN1179" s="3">
        <f t="shared" si="60"/>
        <v>4.0609879034687832</v>
      </c>
      <c r="AO1179" s="3">
        <f t="shared" si="61"/>
        <v>25.332430051761008</v>
      </c>
    </row>
    <row r="1180" spans="1:41" x14ac:dyDescent="0.3">
      <c r="A1180" s="2">
        <v>9.3070621303245655</v>
      </c>
      <c r="B1180" s="2">
        <v>22.320397134086431</v>
      </c>
      <c r="C1180" s="2">
        <v>26.60419010575583</v>
      </c>
      <c r="AN1180" s="3">
        <f t="shared" si="60"/>
        <v>8.7128738582119052</v>
      </c>
      <c r="AO1180" s="3">
        <f t="shared" si="61"/>
        <v>11.513520772172567</v>
      </c>
    </row>
    <row r="1181" spans="1:41" x14ac:dyDescent="0.3">
      <c r="A1181" s="2">
        <v>5.723115474608016</v>
      </c>
      <c r="B1181" s="2">
        <v>22.234286379364079</v>
      </c>
      <c r="C1181" s="2">
        <v>30.856271164548829</v>
      </c>
      <c r="AN1181" s="3">
        <f t="shared" si="60"/>
        <v>9.2286450967806566</v>
      </c>
      <c r="AO1181" s="3">
        <f t="shared" si="61"/>
        <v>0.73774893250554829</v>
      </c>
    </row>
    <row r="1182" spans="1:41" x14ac:dyDescent="0.3">
      <c r="A1182" s="2">
        <v>0.13786788439233899</v>
      </c>
      <c r="B1182" s="2">
        <v>26.753089690280841</v>
      </c>
      <c r="C1182" s="2">
        <v>35.768261114109521</v>
      </c>
      <c r="AN1182" s="3">
        <f t="shared" si="60"/>
        <v>2.1931678783601005</v>
      </c>
      <c r="AO1182" s="3">
        <f t="shared" si="61"/>
        <v>33.303437699661828</v>
      </c>
    </row>
    <row r="1183" spans="1:41" x14ac:dyDescent="0.3">
      <c r="A1183" s="2">
        <v>3.5277302095049672</v>
      </c>
      <c r="B1183" s="2">
        <v>20.744702296038248</v>
      </c>
      <c r="C1183" s="2">
        <v>31.375134377381318</v>
      </c>
      <c r="AN1183" s="3">
        <f t="shared" si="60"/>
        <v>20.497827003786341</v>
      </c>
      <c r="AO1183" s="3">
        <f t="shared" si="61"/>
        <v>1.8982951892623123</v>
      </c>
    </row>
    <row r="1184" spans="1:41" x14ac:dyDescent="0.3">
      <c r="A1184" s="2">
        <v>2.5644172883560699</v>
      </c>
      <c r="B1184" s="2">
        <v>22.987821303720761</v>
      </c>
      <c r="C1184" s="2">
        <v>34.828106598273138</v>
      </c>
      <c r="AN1184" s="3">
        <f t="shared" si="60"/>
        <v>5.2181799400711961</v>
      </c>
      <c r="AO1184" s="3">
        <f t="shared" si="61"/>
        <v>23.3362282405724</v>
      </c>
    </row>
    <row r="1185" spans="1:41" x14ac:dyDescent="0.3">
      <c r="A1185" s="2">
        <v>5.1979837388501506</v>
      </c>
      <c r="B1185" s="2">
        <v>28.73643322774187</v>
      </c>
      <c r="C1185" s="2">
        <v>25.19096952585603</v>
      </c>
      <c r="AN1185" s="3">
        <f t="shared" si="60"/>
        <v>12.001224391235562</v>
      </c>
      <c r="AO1185" s="3">
        <f t="shared" si="61"/>
        <v>23.101274428942414</v>
      </c>
    </row>
    <row r="1186" spans="1:41" x14ac:dyDescent="0.3">
      <c r="A1186" s="2">
        <v>6.7113087134564351</v>
      </c>
      <c r="B1186" s="2">
        <v>18.209297042468489</v>
      </c>
      <c r="C1186" s="2">
        <v>27.93296721896591</v>
      </c>
      <c r="AN1186" s="3">
        <f t="shared" si="60"/>
        <v>49.883960995053492</v>
      </c>
      <c r="AO1186" s="3">
        <f t="shared" si="61"/>
        <v>4.2616681775681657</v>
      </c>
    </row>
    <row r="1187" spans="1:41" x14ac:dyDescent="0.3">
      <c r="A1187" s="2">
        <v>6.4222065412681548</v>
      </c>
      <c r="B1187" s="2">
        <v>26.618849157104531</v>
      </c>
      <c r="C1187" s="2">
        <v>34.137268682034488</v>
      </c>
      <c r="AN1187" s="3">
        <f t="shared" si="60"/>
        <v>1.8135854451212947</v>
      </c>
      <c r="AO1187" s="3">
        <f t="shared" si="61"/>
        <v>17.138942915695765</v>
      </c>
    </row>
    <row r="1188" spans="1:41" x14ac:dyDescent="0.3">
      <c r="A1188" s="2">
        <v>11.907529194055</v>
      </c>
      <c r="B1188" s="2">
        <v>23.7799967068384</v>
      </c>
      <c r="C1188" s="2">
        <v>26.788391708189561</v>
      </c>
      <c r="AN1188" s="3">
        <f t="shared" si="60"/>
        <v>2.2265360479316429</v>
      </c>
      <c r="AO1188" s="3">
        <f t="shared" si="61"/>
        <v>10.297400744618939</v>
      </c>
    </row>
    <row r="1189" spans="1:41" x14ac:dyDescent="0.3">
      <c r="A1189" s="2">
        <v>7.1318919511528396</v>
      </c>
      <c r="B1189" s="2">
        <v>14.19463928403672</v>
      </c>
      <c r="C1189" s="2">
        <v>34.546180550005033</v>
      </c>
      <c r="AN1189" s="3">
        <f t="shared" si="60"/>
        <v>122.71135203269459</v>
      </c>
      <c r="AO1189" s="3">
        <f t="shared" si="61"/>
        <v>20.691877196774616</v>
      </c>
    </row>
    <row r="1190" spans="1:41" x14ac:dyDescent="0.3">
      <c r="A1190" s="2">
        <v>1.4842144266763819</v>
      </c>
      <c r="B1190" s="2">
        <v>22.20705820892929</v>
      </c>
      <c r="C1190" s="2">
        <v>32.684996750954177</v>
      </c>
      <c r="AN1190" s="3">
        <f t="shared" si="60"/>
        <v>9.3948176732575064</v>
      </c>
      <c r="AO1190" s="3">
        <f t="shared" si="61"/>
        <v>7.2234555891780836</v>
      </c>
    </row>
    <row r="1191" spans="1:41" x14ac:dyDescent="0.3">
      <c r="A1191" s="2">
        <v>15.93081501797101</v>
      </c>
      <c r="B1191" s="2">
        <v>17.907150813112999</v>
      </c>
      <c r="C1191" s="2">
        <v>23.928364078389421</v>
      </c>
      <c r="AN1191" s="3">
        <f t="shared" si="60"/>
        <v>54.243285074060132</v>
      </c>
      <c r="AO1191" s="3">
        <f t="shared" si="61"/>
        <v>36.832566336031419</v>
      </c>
    </row>
    <row r="1192" spans="1:41" x14ac:dyDescent="0.3">
      <c r="A1192" s="2">
        <v>0.61554908424995647</v>
      </c>
      <c r="B1192" s="2">
        <v>27.286725972336679</v>
      </c>
      <c r="C1192" s="2">
        <v>25.712066011734159</v>
      </c>
      <c r="AN1192" s="3">
        <f t="shared" si="60"/>
        <v>4.0584966399067737</v>
      </c>
      <c r="AO1192" s="3">
        <f t="shared" si="61"/>
        <v>18.363642068659093</v>
      </c>
    </row>
    <row r="1193" spans="1:41" x14ac:dyDescent="0.3">
      <c r="A1193" s="2">
        <v>5.3642738691169694</v>
      </c>
      <c r="B1193" s="2">
        <v>23.231842916949621</v>
      </c>
      <c r="C1193" s="2">
        <v>29.510704954393649</v>
      </c>
      <c r="AN1193" s="3">
        <f t="shared" si="60"/>
        <v>4.1628729533282742</v>
      </c>
      <c r="AO1193" s="3">
        <f t="shared" si="61"/>
        <v>0.23682149354987442</v>
      </c>
    </row>
    <row r="1194" spans="1:41" x14ac:dyDescent="0.3">
      <c r="A1194" s="2">
        <v>23.665779863595489</v>
      </c>
      <c r="B1194" s="2">
        <v>21.026314766991131</v>
      </c>
      <c r="C1194" s="2">
        <v>29.60658179762925</v>
      </c>
      <c r="AN1194" s="3">
        <f t="shared" si="60"/>
        <v>18.027158362545304</v>
      </c>
      <c r="AO1194" s="3">
        <f t="shared" si="61"/>
        <v>0.1526982568040102</v>
      </c>
    </row>
    <row r="1195" spans="1:41" x14ac:dyDescent="0.3">
      <c r="A1195" s="2">
        <v>18.81788722458705</v>
      </c>
      <c r="B1195" s="2">
        <v>29.264622128274919</v>
      </c>
      <c r="C1195" s="2">
        <v>34.659743142701963</v>
      </c>
      <c r="AN1195" s="3">
        <f t="shared" si="60"/>
        <v>15.939794637044796</v>
      </c>
      <c r="AO1195" s="3">
        <f t="shared" si="61"/>
        <v>21.737928086212825</v>
      </c>
    </row>
    <row r="1196" spans="1:41" x14ac:dyDescent="0.3">
      <c r="A1196" s="2">
        <v>49.160559143493273</v>
      </c>
      <c r="B1196" s="2">
        <v>26.57368081443429</v>
      </c>
      <c r="C1196" s="2">
        <v>32.996074241475178</v>
      </c>
      <c r="AN1196" s="3">
        <f t="shared" si="60"/>
        <v>1.6939697281754615</v>
      </c>
      <c r="AO1196" s="3">
        <f t="shared" si="61"/>
        <v>8.9923588265986858</v>
      </c>
    </row>
    <row r="1197" spans="1:41" x14ac:dyDescent="0.3">
      <c r="A1197" s="2">
        <v>22.1518775222873</v>
      </c>
      <c r="B1197" s="2">
        <v>26.612357974647271</v>
      </c>
      <c r="C1197" s="2">
        <v>37.014995765431387</v>
      </c>
      <c r="AN1197" s="3">
        <f t="shared" si="60"/>
        <v>1.7961443041860912</v>
      </c>
      <c r="AO1197" s="3">
        <f t="shared" si="61"/>
        <v>49.24737958698406</v>
      </c>
    </row>
    <row r="1198" spans="1:41" x14ac:dyDescent="0.3">
      <c r="A1198" s="2">
        <v>5.5164957422343646</v>
      </c>
      <c r="B1198" s="2">
        <v>32.40648752829587</v>
      </c>
      <c r="C1198" s="2">
        <v>23.201469923650279</v>
      </c>
      <c r="AN1198" s="3">
        <f t="shared" si="60"/>
        <v>50.898702173029037</v>
      </c>
      <c r="AO1198" s="3">
        <f t="shared" si="61"/>
        <v>46.183959383193191</v>
      </c>
    </row>
    <row r="1199" spans="1:41" x14ac:dyDescent="0.3">
      <c r="A1199" s="2">
        <v>7.0501881780933884</v>
      </c>
      <c r="B1199" s="2">
        <v>25.371814276118069</v>
      </c>
      <c r="C1199" s="2">
        <v>16.486984181977778</v>
      </c>
      <c r="AN1199" s="3">
        <f t="shared" si="60"/>
        <v>9.9319929505309792E-3</v>
      </c>
      <c r="AO1199" s="3">
        <f t="shared" si="61"/>
        <v>182.52993159784671</v>
      </c>
    </row>
    <row r="1200" spans="1:41" x14ac:dyDescent="0.3">
      <c r="A1200" s="2">
        <v>1.209192977125217</v>
      </c>
      <c r="B1200" s="2">
        <v>29.096964370740299</v>
      </c>
      <c r="C1200" s="2">
        <v>35.453091169199517</v>
      </c>
      <c r="AN1200" s="3">
        <f t="shared" si="60"/>
        <v>14.629167552796495</v>
      </c>
      <c r="AO1200" s="3">
        <f t="shared" si="61"/>
        <v>29.765133083047438</v>
      </c>
    </row>
    <row r="1201" spans="1:41" x14ac:dyDescent="0.3">
      <c r="A1201" s="2">
        <v>11.30946687135414</v>
      </c>
      <c r="B1201" s="2">
        <v>21.749674345979631</v>
      </c>
      <c r="C1201" s="2">
        <v>20.351677665875719</v>
      </c>
      <c r="AN1201" s="3">
        <f t="shared" si="60"/>
        <v>12.407869193283931</v>
      </c>
      <c r="AO1201" s="3">
        <f t="shared" si="61"/>
        <v>93.038956981746921</v>
      </c>
    </row>
    <row r="1202" spans="1:41" x14ac:dyDescent="0.3">
      <c r="A1202" s="2">
        <v>2.5808325261349521</v>
      </c>
      <c r="B1202" s="2">
        <v>27.951325717157239</v>
      </c>
      <c r="C1202" s="2">
        <v>25.713348205187081</v>
      </c>
      <c r="AN1202" s="3">
        <f t="shared" si="60"/>
        <v>7.1779563132700739</v>
      </c>
      <c r="AO1202" s="3">
        <f t="shared" si="61"/>
        <v>18.352654591555943</v>
      </c>
    </row>
    <row r="1203" spans="1:41" x14ac:dyDescent="0.3">
      <c r="A1203" s="2">
        <v>0.91499699945513702</v>
      </c>
      <c r="B1203" s="2">
        <v>17.372620632811</v>
      </c>
      <c r="C1203" s="2">
        <v>30.866608887684219</v>
      </c>
      <c r="AN1203" s="3">
        <f t="shared" si="60"/>
        <v>62.402641503560815</v>
      </c>
      <c r="AO1203" s="3">
        <f t="shared" si="61"/>
        <v>0.75561441992091205</v>
      </c>
    </row>
    <row r="1204" spans="1:41" x14ac:dyDescent="0.3">
      <c r="A1204" s="2">
        <v>33.52244194764566</v>
      </c>
      <c r="B1204" s="2">
        <v>23.201856820611312</v>
      </c>
      <c r="C1204" s="2">
        <v>27.878186156889839</v>
      </c>
      <c r="AN1204" s="3">
        <f t="shared" si="60"/>
        <v>4.2861341021576003</v>
      </c>
      <c r="AO1204" s="3">
        <f t="shared" si="61"/>
        <v>4.4908470902297468</v>
      </c>
    </row>
    <row r="1205" spans="1:41" x14ac:dyDescent="0.3">
      <c r="A1205" s="2">
        <v>16.976569953004251</v>
      </c>
      <c r="B1205" s="2">
        <v>30.74658358913285</v>
      </c>
      <c r="C1205" s="2">
        <v>25.084159304333241</v>
      </c>
      <c r="AN1205" s="3">
        <f t="shared" si="60"/>
        <v>29.969369565909879</v>
      </c>
      <c r="AO1205" s="3">
        <f t="shared" si="61"/>
        <v>24.139423560171849</v>
      </c>
    </row>
    <row r="1206" spans="1:41" x14ac:dyDescent="0.3">
      <c r="A1206" s="2">
        <v>4.6986718248443182</v>
      </c>
      <c r="B1206" s="2">
        <v>32.971490066789379</v>
      </c>
      <c r="C1206" s="2">
        <v>41.412769863087817</v>
      </c>
      <c r="AN1206" s="3">
        <f t="shared" si="60"/>
        <v>59.279762142072457</v>
      </c>
      <c r="AO1206" s="3">
        <f t="shared" si="61"/>
        <v>130.3118553806998</v>
      </c>
    </row>
    <row r="1207" spans="1:41" x14ac:dyDescent="0.3">
      <c r="A1207" s="2">
        <v>10.68976341922431</v>
      </c>
      <c r="B1207" s="2">
        <v>32.749130194655407</v>
      </c>
      <c r="C1207" s="2">
        <v>40.637993694776043</v>
      </c>
      <c r="AN1207" s="3">
        <f t="shared" si="60"/>
        <v>55.905159684602005</v>
      </c>
      <c r="AO1207" s="3">
        <f t="shared" si="61"/>
        <v>113.22333993341856</v>
      </c>
    </row>
    <row r="1208" spans="1:41" x14ac:dyDescent="0.3">
      <c r="A1208" s="2">
        <v>4.181929250319679</v>
      </c>
      <c r="B1208" s="2">
        <v>32.289388310003282</v>
      </c>
      <c r="C1208" s="2">
        <v>23.604817734074391</v>
      </c>
      <c r="AN1208" s="3">
        <f t="shared" si="60"/>
        <v>49.241564850328103</v>
      </c>
      <c r="AO1208" s="3">
        <f t="shared" si="61"/>
        <v>40.864443722441862</v>
      </c>
    </row>
    <row r="1209" spans="1:41" x14ac:dyDescent="0.3">
      <c r="A1209" s="2">
        <v>1.6486781890224189</v>
      </c>
      <c r="B1209" s="2">
        <v>29.32420355643815</v>
      </c>
      <c r="C1209" s="2">
        <v>29.002335211106342</v>
      </c>
      <c r="AN1209" s="3">
        <f t="shared" si="60"/>
        <v>16.419098383355511</v>
      </c>
      <c r="AO1209" s="3">
        <f t="shared" si="61"/>
        <v>0.99005053126065545</v>
      </c>
    </row>
    <row r="1210" spans="1:41" x14ac:dyDescent="0.3">
      <c r="A1210" s="2">
        <v>2.5568228088373579</v>
      </c>
      <c r="B1210" s="2">
        <v>21.061125637605219</v>
      </c>
      <c r="C1210" s="2">
        <v>33.587578534694543</v>
      </c>
      <c r="AN1210" s="3">
        <f t="shared" si="60"/>
        <v>17.732767376816277</v>
      </c>
      <c r="AO1210" s="3">
        <f t="shared" si="61"/>
        <v>12.889754999269783</v>
      </c>
    </row>
    <row r="1211" spans="1:41" x14ac:dyDescent="0.3">
      <c r="A1211" s="2">
        <v>13.053133091371871</v>
      </c>
      <c r="B1211" s="2">
        <v>31.629868561050031</v>
      </c>
      <c r="C1211" s="2">
        <v>35.426418393776373</v>
      </c>
      <c r="AN1211" s="3">
        <f t="shared" si="60"/>
        <v>40.420523104498699</v>
      </c>
      <c r="AO1211" s="3">
        <f t="shared" si="61"/>
        <v>29.474804897536039</v>
      </c>
    </row>
    <row r="1212" spans="1:41" x14ac:dyDescent="0.3">
      <c r="A1212" s="2">
        <v>6.2602770558774354</v>
      </c>
      <c r="B1212" s="2">
        <v>19.77352917954353</v>
      </c>
      <c r="C1212" s="2">
        <v>30.186053213497271</v>
      </c>
      <c r="AN1212" s="3">
        <f t="shared" si="60"/>
        <v>30.234884719743061</v>
      </c>
      <c r="AO1212" s="3">
        <f t="shared" si="61"/>
        <v>3.5609642201630626E-2</v>
      </c>
    </row>
    <row r="1213" spans="1:41" x14ac:dyDescent="0.3">
      <c r="A1213" s="2">
        <v>8.0221894028269034</v>
      </c>
      <c r="B1213" s="2">
        <v>30.073781773275691</v>
      </c>
      <c r="C1213" s="2">
        <v>39.735669978473609</v>
      </c>
      <c r="AN1213" s="3">
        <f t="shared" si="60"/>
        <v>23.055620712180179</v>
      </c>
      <c r="AO1213" s="3">
        <f t="shared" si="61"/>
        <v>94.834914161719539</v>
      </c>
    </row>
    <row r="1214" spans="1:41" x14ac:dyDescent="0.3">
      <c r="A1214" s="2">
        <v>9.7160733090131792</v>
      </c>
      <c r="B1214" s="2">
        <v>38.939653205372473</v>
      </c>
      <c r="C1214" s="2">
        <v>20.285703320183071</v>
      </c>
      <c r="AN1214" s="3">
        <f t="shared" si="60"/>
        <v>186.80051016081481</v>
      </c>
      <c r="AO1214" s="3">
        <f t="shared" si="61"/>
        <v>94.316043179542049</v>
      </c>
    </row>
    <row r="1215" spans="1:41" x14ac:dyDescent="0.3">
      <c r="A1215" s="2">
        <v>0.53294410401001646</v>
      </c>
      <c r="B1215" s="2">
        <v>22.018026767793302</v>
      </c>
      <c r="C1215" s="2">
        <v>31.990740904282578</v>
      </c>
      <c r="AN1215" s="3">
        <f t="shared" si="60"/>
        <v>10.589349845235088</v>
      </c>
      <c r="AO1215" s="3">
        <f t="shared" si="61"/>
        <v>3.9736151081719049</v>
      </c>
    </row>
    <row r="1216" spans="1:41" x14ac:dyDescent="0.3">
      <c r="A1216" s="2">
        <v>15.927964282053081</v>
      </c>
      <c r="B1216" s="2">
        <v>25.577094289016809</v>
      </c>
      <c r="C1216" s="2">
        <v>30.256788404546398</v>
      </c>
      <c r="AN1216" s="3">
        <f t="shared" si="60"/>
        <v>9.2988036182634001E-2</v>
      </c>
      <c r="AO1216" s="3">
        <f t="shared" si="61"/>
        <v>6.7309302339383953E-2</v>
      </c>
    </row>
    <row r="1217" spans="1:41" x14ac:dyDescent="0.3">
      <c r="A1217" s="2">
        <v>2.1902298131905371</v>
      </c>
      <c r="B1217" s="2">
        <v>27.132891662524909</v>
      </c>
      <c r="C1217" s="2">
        <v>35.855049894234739</v>
      </c>
      <c r="AN1217" s="3">
        <f t="shared" si="60"/>
        <v>3.4623413311950402</v>
      </c>
      <c r="AO1217" s="3">
        <f t="shared" si="61"/>
        <v>34.312671003699371</v>
      </c>
    </row>
    <row r="1218" spans="1:41" x14ac:dyDescent="0.3">
      <c r="A1218" s="2">
        <v>2.656626261839615</v>
      </c>
      <c r="B1218" s="2">
        <v>20.905497820708941</v>
      </c>
      <c r="C1218" s="2">
        <v>37.169522577262541</v>
      </c>
      <c r="AN1218" s="3">
        <f t="shared" si="60"/>
        <v>19.067693973535576</v>
      </c>
      <c r="AO1218" s="3">
        <f t="shared" si="61"/>
        <v>51.440087581440757</v>
      </c>
    </row>
    <row r="1219" spans="1:41" x14ac:dyDescent="0.3">
      <c r="A1219" s="2">
        <v>18.11246627723888</v>
      </c>
      <c r="B1219" s="2">
        <v>29.29462334289661</v>
      </c>
      <c r="C1219" s="2">
        <v>31.179797953043739</v>
      </c>
      <c r="AN1219" s="3">
        <f t="shared" ref="AN1219:AN1282" si="62">(B1219-$AK$2)^2</f>
        <v>16.180252442807117</v>
      </c>
      <c r="AO1219" s="3">
        <f t="shared" ref="AO1219:AO1282" si="63">(C1219-$AK$3)^2</f>
        <v>1.3981877949584822</v>
      </c>
    </row>
    <row r="1220" spans="1:41" x14ac:dyDescent="0.3">
      <c r="A1220" s="2">
        <v>47.189501550461401</v>
      </c>
      <c r="B1220" s="2">
        <v>27.03818175471136</v>
      </c>
      <c r="C1220" s="2">
        <v>30.23583720140428</v>
      </c>
      <c r="AN1220" s="3">
        <f t="shared" si="62"/>
        <v>3.1188508817273148</v>
      </c>
      <c r="AO1220" s="3">
        <f t="shared" si="63"/>
        <v>5.6877079724373981E-2</v>
      </c>
    </row>
    <row r="1221" spans="1:41" x14ac:dyDescent="0.3">
      <c r="A1221" s="2">
        <v>19.338194122172009</v>
      </c>
      <c r="B1221" s="2">
        <v>18.13220452006804</v>
      </c>
      <c r="C1221" s="2">
        <v>28.43137889485061</v>
      </c>
      <c r="AN1221" s="3">
        <f t="shared" si="62"/>
        <v>50.978891305932599</v>
      </c>
      <c r="AO1221" s="3">
        <f t="shared" si="63"/>
        <v>2.4522593660743923</v>
      </c>
    </row>
    <row r="1222" spans="1:41" x14ac:dyDescent="0.3">
      <c r="A1222" s="2">
        <v>1.9683382657506791E-2</v>
      </c>
      <c r="B1222" s="2">
        <v>18.597037562271531</v>
      </c>
      <c r="C1222" s="2">
        <v>27.051815805344368</v>
      </c>
      <c r="AN1222" s="3">
        <f t="shared" si="62"/>
        <v>44.557191358425108</v>
      </c>
      <c r="AO1222" s="3">
        <f t="shared" si="63"/>
        <v>8.6761601501250478</v>
      </c>
    </row>
    <row r="1223" spans="1:41" x14ac:dyDescent="0.3">
      <c r="A1223" s="2">
        <v>33.319138288669713</v>
      </c>
      <c r="B1223" s="2">
        <v>25.577207730129221</v>
      </c>
      <c r="C1223" s="2">
        <v>22.803916495488441</v>
      </c>
      <c r="AN1223" s="3">
        <f t="shared" si="62"/>
        <v>9.3057234380473863E-2</v>
      </c>
      <c r="AO1223" s="3">
        <f t="shared" si="63"/>
        <v>51.745457397124476</v>
      </c>
    </row>
    <row r="1224" spans="1:41" x14ac:dyDescent="0.3">
      <c r="A1224" s="2">
        <v>28.229127969062031</v>
      </c>
      <c r="B1224" s="2">
        <v>34.307442610990513</v>
      </c>
      <c r="C1224" s="2">
        <v>36.501192795509787</v>
      </c>
      <c r="AN1224" s="3">
        <f t="shared" si="62"/>
        <v>81.636424174708509</v>
      </c>
      <c r="AO1224" s="3">
        <f t="shared" si="63"/>
        <v>42.299996593328927</v>
      </c>
    </row>
    <row r="1225" spans="1:41" x14ac:dyDescent="0.3">
      <c r="A1225" s="2">
        <v>5.1525040003182792</v>
      </c>
      <c r="B1225" s="2">
        <v>23.924679631528932</v>
      </c>
      <c r="C1225" s="2">
        <v>26.08674136997335</v>
      </c>
      <c r="AN1225" s="3">
        <f t="shared" si="62"/>
        <v>1.8156895761248679</v>
      </c>
      <c r="AO1225" s="3">
        <f t="shared" si="63"/>
        <v>15.292844533936199</v>
      </c>
    </row>
    <row r="1226" spans="1:41" x14ac:dyDescent="0.3">
      <c r="A1226" s="2">
        <v>19.60827568010054</v>
      </c>
      <c r="B1226" s="2">
        <v>25.253179503550509</v>
      </c>
      <c r="C1226" s="2">
        <v>37.591790187242381</v>
      </c>
      <c r="AN1226" s="3">
        <f t="shared" si="62"/>
        <v>3.6006534629548118E-4</v>
      </c>
      <c r="AO1226" s="3">
        <f t="shared" si="63"/>
        <v>57.675551515617052</v>
      </c>
    </row>
    <row r="1227" spans="1:41" x14ac:dyDescent="0.3">
      <c r="A1227" s="2">
        <v>19.837518581847661</v>
      </c>
      <c r="B1227" s="2">
        <v>27.487794725375331</v>
      </c>
      <c r="C1227" s="2">
        <v>38.474872358480667</v>
      </c>
      <c r="AN1227" s="3">
        <f t="shared" si="62"/>
        <v>4.9090598736347086</v>
      </c>
      <c r="AO1227" s="3">
        <f t="shared" si="63"/>
        <v>71.86841855681871</v>
      </c>
    </row>
    <row r="1228" spans="1:41" x14ac:dyDescent="0.3">
      <c r="A1228" s="2">
        <v>1.789800951344835</v>
      </c>
      <c r="B1228" s="2">
        <v>35.458720317968172</v>
      </c>
      <c r="C1228" s="2">
        <v>26.080819529991949</v>
      </c>
      <c r="AN1228" s="3">
        <f t="shared" si="62"/>
        <v>103.76611518854244</v>
      </c>
      <c r="AO1228" s="3">
        <f t="shared" si="63"/>
        <v>15.339195575994665</v>
      </c>
    </row>
    <row r="1229" spans="1:41" x14ac:dyDescent="0.3">
      <c r="A1229" s="2">
        <v>0.90380260795898404</v>
      </c>
      <c r="B1229" s="2">
        <v>21.317262004929219</v>
      </c>
      <c r="C1229" s="2">
        <v>23.192164960512081</v>
      </c>
      <c r="AN1229" s="3">
        <f t="shared" si="62"/>
        <v>15.641177743927567</v>
      </c>
      <c r="AO1229" s="3">
        <f t="shared" si="63"/>
        <v>46.310516756275781</v>
      </c>
    </row>
    <row r="1230" spans="1:41" x14ac:dyDescent="0.3">
      <c r="A1230" s="2">
        <v>11.02214073070658</v>
      </c>
      <c r="B1230" s="2">
        <v>28.276672404216079</v>
      </c>
      <c r="C1230" s="2">
        <v>34.583019406375008</v>
      </c>
      <c r="AN1230" s="3">
        <f t="shared" si="62"/>
        <v>9.0271254844611679</v>
      </c>
      <c r="AO1230" s="3">
        <f t="shared" si="63"/>
        <v>21.028381873028412</v>
      </c>
    </row>
    <row r="1231" spans="1:41" x14ac:dyDescent="0.3">
      <c r="A1231" s="2">
        <v>2.5023381963879219</v>
      </c>
      <c r="B1231" s="2">
        <v>32.875004811264652</v>
      </c>
      <c r="C1231" s="2">
        <v>33.50300912463711</v>
      </c>
      <c r="AN1231" s="3">
        <f t="shared" si="62"/>
        <v>57.80332690308169</v>
      </c>
      <c r="AO1231" s="3">
        <f t="shared" si="63"/>
        <v>12.289659634709988</v>
      </c>
    </row>
    <row r="1232" spans="1:41" x14ac:dyDescent="0.3">
      <c r="A1232" s="2">
        <v>8.9765475165887096</v>
      </c>
      <c r="B1232" s="2">
        <v>22.335565655250651</v>
      </c>
      <c r="C1232" s="2">
        <v>35.600874018347</v>
      </c>
      <c r="AN1232" s="3">
        <f t="shared" si="62"/>
        <v>8.623556342217487</v>
      </c>
      <c r="AO1232" s="3">
        <f t="shared" si="63"/>
        <v>31.399503381012103</v>
      </c>
    </row>
    <row r="1233" spans="1:41" x14ac:dyDescent="0.3">
      <c r="A1233" s="2">
        <v>26.806582873431221</v>
      </c>
      <c r="B1233" s="2">
        <v>24.27280438009775</v>
      </c>
      <c r="C1233" s="2">
        <v>37.703114603347537</v>
      </c>
      <c r="AN1233" s="3">
        <f t="shared" si="62"/>
        <v>0.99870144455892906</v>
      </c>
      <c r="AO1233" s="3">
        <f t="shared" si="63"/>
        <v>59.378838316431732</v>
      </c>
    </row>
    <row r="1234" spans="1:41" x14ac:dyDescent="0.3">
      <c r="A1234" s="2">
        <v>4.1878304021309889</v>
      </c>
      <c r="B1234" s="2">
        <v>28.962610752245631</v>
      </c>
      <c r="C1234" s="2">
        <v>39.250761500665362</v>
      </c>
      <c r="AN1234" s="3">
        <f t="shared" si="62"/>
        <v>13.619464460410935</v>
      </c>
      <c r="AO1234" s="3">
        <f t="shared" si="63"/>
        <v>85.62566065916468</v>
      </c>
    </row>
    <row r="1235" spans="1:41" x14ac:dyDescent="0.3">
      <c r="A1235" s="2">
        <v>15.983568175463811</v>
      </c>
      <c r="B1235" s="2">
        <v>25.804189005463648</v>
      </c>
      <c r="C1235" s="2">
        <v>25.825183945563278</v>
      </c>
      <c r="AN1235" s="3">
        <f t="shared" si="62"/>
        <v>0.28306029846421255</v>
      </c>
      <c r="AO1235" s="3">
        <f t="shared" si="63"/>
        <v>17.406953237606245</v>
      </c>
    </row>
    <row r="1236" spans="1:41" x14ac:dyDescent="0.3">
      <c r="A1236" s="2">
        <v>5.09077137685202</v>
      </c>
      <c r="B1236" s="2">
        <v>27.1850410755459</v>
      </c>
      <c r="C1236" s="2">
        <v>30.329316366442239</v>
      </c>
      <c r="AN1236" s="3">
        <f t="shared" si="62"/>
        <v>3.6591335532687501</v>
      </c>
      <c r="AO1236" s="3">
        <f t="shared" si="63"/>
        <v>0.11020296922781828</v>
      </c>
    </row>
    <row r="1237" spans="1:41" x14ac:dyDescent="0.3">
      <c r="A1237" s="2">
        <v>0.71370530067341831</v>
      </c>
      <c r="B1237" s="2">
        <v>25.85472649674448</v>
      </c>
      <c r="C1237" s="2">
        <v>32.934164251956048</v>
      </c>
      <c r="AN1237" s="3">
        <f t="shared" si="62"/>
        <v>0.33938967528435487</v>
      </c>
      <c r="AO1237" s="3">
        <f t="shared" si="63"/>
        <v>8.6248894580922162</v>
      </c>
    </row>
    <row r="1238" spans="1:41" x14ac:dyDescent="0.3">
      <c r="A1238" s="2">
        <v>10.991466359207569</v>
      </c>
      <c r="B1238" s="2">
        <v>28.732641282067771</v>
      </c>
      <c r="C1238" s="2">
        <v>27.833565647153069</v>
      </c>
      <c r="AN1238" s="3">
        <f t="shared" si="62"/>
        <v>11.974966059585277</v>
      </c>
      <c r="AO1238" s="3">
        <f t="shared" si="63"/>
        <v>4.6819542470687816</v>
      </c>
    </row>
    <row r="1239" spans="1:41" x14ac:dyDescent="0.3">
      <c r="A1239" s="2">
        <v>3.6942126098083938</v>
      </c>
      <c r="B1239" s="2">
        <v>30.183527808660092</v>
      </c>
      <c r="C1239" s="2">
        <v>23.230721091440209</v>
      </c>
      <c r="AN1239" s="3">
        <f t="shared" si="62"/>
        <v>24.12158393181176</v>
      </c>
      <c r="AO1239" s="3">
        <f t="shared" si="63"/>
        <v>45.78724027184078</v>
      </c>
    </row>
    <row r="1240" spans="1:41" x14ac:dyDescent="0.3">
      <c r="A1240" s="2">
        <v>33.503303387656793</v>
      </c>
      <c r="B1240" s="2">
        <v>17.825293873367539</v>
      </c>
      <c r="C1240" s="2">
        <v>30.515214002439741</v>
      </c>
      <c r="AN1240" s="3">
        <f t="shared" si="62"/>
        <v>55.455739022777173</v>
      </c>
      <c r="AO1240" s="3">
        <f t="shared" si="63"/>
        <v>0.26818515422210049</v>
      </c>
    </row>
    <row r="1241" spans="1:41" x14ac:dyDescent="0.3">
      <c r="A1241" s="2">
        <v>2.2775280239416702</v>
      </c>
      <c r="B1241" s="2">
        <v>21.253289066195851</v>
      </c>
      <c r="C1241" s="2">
        <v>30.07598829985649</v>
      </c>
      <c r="AN1241" s="3">
        <f t="shared" si="62"/>
        <v>16.151282521471817</v>
      </c>
      <c r="AO1241" s="3">
        <f t="shared" si="63"/>
        <v>6.184290344023455E-3</v>
      </c>
    </row>
    <row r="1242" spans="1:41" x14ac:dyDescent="0.3">
      <c r="A1242" s="2">
        <v>12.24988230112983</v>
      </c>
      <c r="B1242" s="2">
        <v>20.976197626829141</v>
      </c>
      <c r="C1242" s="2">
        <v>36.762260165270277</v>
      </c>
      <c r="AN1242" s="3">
        <f t="shared" si="62"/>
        <v>18.455248819530087</v>
      </c>
      <c r="AO1242" s="3">
        <f t="shared" si="63"/>
        <v>45.764036051766375</v>
      </c>
    </row>
    <row r="1243" spans="1:41" x14ac:dyDescent="0.3">
      <c r="A1243" s="2">
        <v>37.475382833339722</v>
      </c>
      <c r="B1243" s="2">
        <v>28.972653294333981</v>
      </c>
      <c r="C1243" s="2">
        <v>33.00929481393969</v>
      </c>
      <c r="AN1243" s="3">
        <f t="shared" si="62"/>
        <v>13.693688429676815</v>
      </c>
      <c r="AO1243" s="3">
        <f t="shared" si="63"/>
        <v>9.0718233642094113</v>
      </c>
    </row>
    <row r="1244" spans="1:41" x14ac:dyDescent="0.3">
      <c r="A1244" s="2">
        <v>8.3455325358691379</v>
      </c>
      <c r="B1244" s="2">
        <v>27.037012329185579</v>
      </c>
      <c r="C1244" s="2">
        <v>32.721881962726663</v>
      </c>
      <c r="AN1244" s="3">
        <f t="shared" si="62"/>
        <v>3.1147217754971721</v>
      </c>
      <c r="AO1244" s="3">
        <f t="shared" si="63"/>
        <v>7.4230850917135438</v>
      </c>
    </row>
    <row r="1245" spans="1:41" x14ac:dyDescent="0.3">
      <c r="A1245" s="2">
        <v>30.1645294706044</v>
      </c>
      <c r="B1245" s="2">
        <v>23.44385768429753</v>
      </c>
      <c r="C1245" s="2">
        <v>32.985481746668569</v>
      </c>
      <c r="AN1245" s="3">
        <f t="shared" si="62"/>
        <v>3.3426706777161437</v>
      </c>
      <c r="AO1245" s="3">
        <f t="shared" si="63"/>
        <v>8.9289430441307847</v>
      </c>
    </row>
    <row r="1246" spans="1:41" x14ac:dyDescent="0.3">
      <c r="A1246" s="2">
        <v>15.26216016317354</v>
      </c>
      <c r="B1246" s="2">
        <v>30.331673847991532</v>
      </c>
      <c r="C1246" s="2">
        <v>26.194086819459631</v>
      </c>
      <c r="AN1246" s="3">
        <f t="shared" si="62"/>
        <v>25.598732071507296</v>
      </c>
      <c r="AO1246" s="3">
        <f t="shared" si="63"/>
        <v>14.464795917773124</v>
      </c>
    </row>
    <row r="1247" spans="1:41" x14ac:dyDescent="0.3">
      <c r="A1247" s="2">
        <v>7.9257813350627417</v>
      </c>
      <c r="B1247" s="2">
        <v>26.476474095641031</v>
      </c>
      <c r="C1247" s="2">
        <v>33.806565990723463</v>
      </c>
      <c r="AN1247" s="3">
        <f t="shared" si="62"/>
        <v>1.4503847455605114</v>
      </c>
      <c r="AO1247" s="3">
        <f t="shared" si="63"/>
        <v>14.510141389997388</v>
      </c>
    </row>
    <row r="1248" spans="1:41" x14ac:dyDescent="0.3">
      <c r="A1248" s="2">
        <v>1.9916533247864141</v>
      </c>
      <c r="B1248" s="2">
        <v>28.329597460886902</v>
      </c>
      <c r="C1248" s="2">
        <v>33.91888364040468</v>
      </c>
      <c r="AN1248" s="3">
        <f t="shared" si="62"/>
        <v>9.3479550653470245</v>
      </c>
      <c r="AO1248" s="3">
        <f t="shared" si="63"/>
        <v>15.37844145894447</v>
      </c>
    </row>
    <row r="1249" spans="1:41" x14ac:dyDescent="0.3">
      <c r="A1249" s="2">
        <v>3.8048342176582142</v>
      </c>
      <c r="B1249" s="2">
        <v>34.112557403361933</v>
      </c>
      <c r="C1249" s="2">
        <v>30.873313883631539</v>
      </c>
      <c r="AN1249" s="3">
        <f t="shared" si="62"/>
        <v>78.152716572451411</v>
      </c>
      <c r="AO1249" s="3">
        <f t="shared" si="63"/>
        <v>0.76731615780257301</v>
      </c>
    </row>
    <row r="1250" spans="1:41" x14ac:dyDescent="0.3">
      <c r="A1250" s="2">
        <v>0.79760017096806024</v>
      </c>
      <c r="B1250" s="2">
        <v>26.216497897402309</v>
      </c>
      <c r="C1250" s="2">
        <v>27.967204327776901</v>
      </c>
      <c r="AN1250" s="3">
        <f t="shared" si="62"/>
        <v>0.89178371287316027</v>
      </c>
      <c r="AO1250" s="3">
        <f t="shared" si="63"/>
        <v>4.1214834955387909</v>
      </c>
    </row>
    <row r="1251" spans="1:41" x14ac:dyDescent="0.3">
      <c r="A1251" s="2">
        <v>6.9115102707394529</v>
      </c>
      <c r="B1251" s="2">
        <v>23.22822890590934</v>
      </c>
      <c r="C1251" s="2">
        <v>28.06728837161879</v>
      </c>
      <c r="AN1251" s="3">
        <f t="shared" si="62"/>
        <v>4.1776334344070634</v>
      </c>
      <c r="AO1251" s="3">
        <f t="shared" si="63"/>
        <v>3.7251303266108873</v>
      </c>
    </row>
    <row r="1252" spans="1:41" x14ac:dyDescent="0.3">
      <c r="A1252" s="2">
        <v>16.975126067848251</v>
      </c>
      <c r="B1252" s="2">
        <v>17.64535923678066</v>
      </c>
      <c r="C1252" s="2">
        <v>38.17368617023542</v>
      </c>
      <c r="AN1252" s="3">
        <f t="shared" si="62"/>
        <v>58.168011958227552</v>
      </c>
      <c r="AO1252" s="3">
        <f t="shared" si="63"/>
        <v>66.852505206812879</v>
      </c>
    </row>
    <row r="1253" spans="1:41" x14ac:dyDescent="0.3">
      <c r="A1253" s="2">
        <v>2.705375977176578</v>
      </c>
      <c r="B1253" s="2">
        <v>27.862213806309139</v>
      </c>
      <c r="C1253" s="2">
        <v>30.786477340555901</v>
      </c>
      <c r="AN1253" s="3">
        <f t="shared" si="62"/>
        <v>6.7084051823922533</v>
      </c>
      <c r="AO1253" s="3">
        <f t="shared" si="63"/>
        <v>0.62272505172873893</v>
      </c>
    </row>
    <row r="1254" spans="1:41" x14ac:dyDescent="0.3">
      <c r="A1254" s="2">
        <v>3.4222348993731941</v>
      </c>
      <c r="B1254" s="2">
        <v>23.335207577557838</v>
      </c>
      <c r="C1254" s="2">
        <v>18.304777375097199</v>
      </c>
      <c r="AN1254" s="3">
        <f t="shared" si="62"/>
        <v>3.7517648968307395</v>
      </c>
      <c r="AO1254" s="3">
        <f t="shared" si="63"/>
        <v>136.71620877252033</v>
      </c>
    </row>
    <row r="1255" spans="1:41" x14ac:dyDescent="0.3">
      <c r="A1255" s="2">
        <v>4.4651801081972202</v>
      </c>
      <c r="B1255" s="2">
        <v>23.860710005956491</v>
      </c>
      <c r="C1255" s="2">
        <v>25.113449010114959</v>
      </c>
      <c r="AN1255" s="3">
        <f t="shared" si="62"/>
        <v>1.9921766648125121</v>
      </c>
      <c r="AO1255" s="3">
        <f t="shared" si="63"/>
        <v>23.852469741954138</v>
      </c>
    </row>
    <row r="1256" spans="1:41" x14ac:dyDescent="0.3">
      <c r="A1256" s="2">
        <v>14.054503725145469</v>
      </c>
      <c r="B1256" s="2">
        <v>27.074378605712369</v>
      </c>
      <c r="C1256" s="2">
        <v>32.940535424443873</v>
      </c>
      <c r="AN1256" s="3">
        <f t="shared" si="62"/>
        <v>3.2480103162155189</v>
      </c>
      <c r="AO1256" s="3">
        <f t="shared" si="63"/>
        <v>8.6623519752236788</v>
      </c>
    </row>
    <row r="1257" spans="1:41" x14ac:dyDescent="0.3">
      <c r="A1257" s="2">
        <v>6.1300243925106628</v>
      </c>
      <c r="B1257" s="2">
        <v>18.550349358955319</v>
      </c>
      <c r="C1257" s="2">
        <v>33.565087336739069</v>
      </c>
      <c r="AN1257" s="3">
        <f t="shared" si="62"/>
        <v>45.182669616803388</v>
      </c>
      <c r="AO1257" s="3">
        <f t="shared" si="63"/>
        <v>12.728763683767456</v>
      </c>
    </row>
    <row r="1258" spans="1:41" x14ac:dyDescent="0.3">
      <c r="A1258" s="2">
        <v>4.4982161210635594</v>
      </c>
      <c r="B1258" s="2">
        <v>27.69803265292062</v>
      </c>
      <c r="C1258" s="2">
        <v>31.414595545579761</v>
      </c>
      <c r="AN1258" s="3">
        <f t="shared" si="62"/>
        <v>5.8848829135517686</v>
      </c>
      <c r="AO1258" s="3">
        <f t="shared" si="63"/>
        <v>2.0085904897963767</v>
      </c>
    </row>
    <row r="1259" spans="1:41" x14ac:dyDescent="0.3">
      <c r="A1259" s="2">
        <v>11.19119862554426</v>
      </c>
      <c r="B1259" s="2">
        <v>20.93622449218805</v>
      </c>
      <c r="C1259" s="2">
        <v>36.932905359558283</v>
      </c>
      <c r="AN1259" s="3">
        <f t="shared" si="62"/>
        <v>18.800292427326006</v>
      </c>
      <c r="AO1259" s="3">
        <f t="shared" si="63"/>
        <v>48.101955321742039</v>
      </c>
    </row>
    <row r="1260" spans="1:41" x14ac:dyDescent="0.3">
      <c r="A1260" s="2">
        <v>3.4696024717917271</v>
      </c>
      <c r="B1260" s="2">
        <v>26.32712839379284</v>
      </c>
      <c r="C1260" s="2">
        <v>28.262566314736841</v>
      </c>
      <c r="AN1260" s="3">
        <f t="shared" si="62"/>
        <v>1.1129690906255407</v>
      </c>
      <c r="AO1260" s="3">
        <f t="shared" si="63"/>
        <v>3.0094676370925675</v>
      </c>
    </row>
    <row r="1261" spans="1:41" x14ac:dyDescent="0.3">
      <c r="A1261" s="2">
        <v>7.8851304013475874</v>
      </c>
      <c r="B1261" s="2">
        <v>12.94328078241025</v>
      </c>
      <c r="C1261" s="2">
        <v>19.097819001625989</v>
      </c>
      <c r="AN1261" s="3">
        <f t="shared" si="62"/>
        <v>152.00113679678415</v>
      </c>
      <c r="AO1261" s="3">
        <f t="shared" si="63"/>
        <v>118.79973327585969</v>
      </c>
    </row>
    <row r="1262" spans="1:41" x14ac:dyDescent="0.3">
      <c r="A1262" s="2">
        <v>1.1008753178848081</v>
      </c>
      <c r="B1262" s="2">
        <v>26.78345795656314</v>
      </c>
      <c r="C1262" s="2">
        <v>25.71112521682663</v>
      </c>
      <c r="AN1262" s="3">
        <f t="shared" si="62"/>
        <v>2.2840369545917527</v>
      </c>
      <c r="AO1262" s="3">
        <f t="shared" si="63"/>
        <v>18.371706096774691</v>
      </c>
    </row>
    <row r="1263" spans="1:41" x14ac:dyDescent="0.3">
      <c r="A1263" s="2">
        <v>11.54130468938363</v>
      </c>
      <c r="B1263" s="2">
        <v>21.09025927720651</v>
      </c>
      <c r="C1263" s="2">
        <v>25.9474100654725</v>
      </c>
      <c r="AN1263" s="3">
        <f t="shared" si="62"/>
        <v>17.48825092850813</v>
      </c>
      <c r="AO1263" s="3">
        <f t="shared" si="63"/>
        <v>16.401997604022906</v>
      </c>
    </row>
    <row r="1264" spans="1:41" x14ac:dyDescent="0.3">
      <c r="A1264" s="2">
        <v>50.250164115282082</v>
      </c>
      <c r="B1264" s="2">
        <v>27.844883454050429</v>
      </c>
      <c r="C1264" s="2">
        <v>22.588306796589141</v>
      </c>
      <c r="AN1264" s="3">
        <f t="shared" si="62"/>
        <v>6.6189322567713482</v>
      </c>
      <c r="AO1264" s="3">
        <f t="shared" si="63"/>
        <v>54.893892158459849</v>
      </c>
    </row>
    <row r="1265" spans="1:41" x14ac:dyDescent="0.3">
      <c r="A1265" s="2">
        <v>2.6029838822007538</v>
      </c>
      <c r="B1265" s="2">
        <v>18.063565914041721</v>
      </c>
      <c r="C1265" s="2">
        <v>29.0296848357203</v>
      </c>
      <c r="AN1265" s="3">
        <f t="shared" si="62"/>
        <v>51.963755045348648</v>
      </c>
      <c r="AO1265" s="3">
        <f t="shared" si="63"/>
        <v>0.93637207847063664</v>
      </c>
    </row>
    <row r="1266" spans="1:41" x14ac:dyDescent="0.3">
      <c r="A1266" s="2">
        <v>7.3087707794744894</v>
      </c>
      <c r="B1266" s="2">
        <v>16.073309289123511</v>
      </c>
      <c r="C1266" s="2">
        <v>28.564278313624719</v>
      </c>
      <c r="AN1266" s="3">
        <f t="shared" si="62"/>
        <v>84.618760415615583</v>
      </c>
      <c r="AO1266" s="3">
        <f t="shared" si="63"/>
        <v>2.0536888429544073</v>
      </c>
    </row>
    <row r="1267" spans="1:41" x14ac:dyDescent="0.3">
      <c r="A1267" s="2">
        <v>15.11412842879526</v>
      </c>
      <c r="B1267" s="2">
        <v>37.878531152066657</v>
      </c>
      <c r="C1267" s="2">
        <v>31.19424534960546</v>
      </c>
      <c r="AN1267" s="3">
        <f t="shared" si="62"/>
        <v>158.92072242400047</v>
      </c>
      <c r="AO1267" s="3">
        <f t="shared" si="63"/>
        <v>1.4325631678189261</v>
      </c>
    </row>
    <row r="1268" spans="1:41" x14ac:dyDescent="0.3">
      <c r="A1268" s="2">
        <v>4.3596683758962644</v>
      </c>
      <c r="B1268" s="2">
        <v>24.963624853764031</v>
      </c>
      <c r="C1268" s="2">
        <v>31.54225478546428</v>
      </c>
      <c r="AN1268" s="3">
        <f t="shared" si="62"/>
        <v>9.5190784160347888E-2</v>
      </c>
      <c r="AO1268" s="3">
        <f t="shared" si="63"/>
        <v>2.3867368497003727</v>
      </c>
    </row>
    <row r="1269" spans="1:41" x14ac:dyDescent="0.3">
      <c r="A1269" s="2">
        <v>4.3734800743233224</v>
      </c>
      <c r="B1269" s="2">
        <v>15.84545941429946</v>
      </c>
      <c r="C1269" s="2">
        <v>23.32376588579918</v>
      </c>
      <c r="AN1269" s="3">
        <f t="shared" si="62"/>
        <v>88.86258761910895</v>
      </c>
      <c r="AO1269" s="3">
        <f t="shared" si="63"/>
        <v>44.536698779583453</v>
      </c>
    </row>
    <row r="1270" spans="1:41" x14ac:dyDescent="0.3">
      <c r="A1270" s="2">
        <v>5.5870074317726299</v>
      </c>
      <c r="B1270" s="2">
        <v>23.17283149689586</v>
      </c>
      <c r="C1270" s="2">
        <v>21.074362773090559</v>
      </c>
      <c r="AN1270" s="3">
        <f t="shared" si="62"/>
        <v>4.4071587149620726</v>
      </c>
      <c r="AO1270" s="3">
        <f t="shared" si="63"/>
        <v>79.6196660878106</v>
      </c>
    </row>
    <row r="1271" spans="1:41" x14ac:dyDescent="0.3">
      <c r="A1271" s="2">
        <v>41.481716866384929</v>
      </c>
      <c r="B1271" s="2">
        <v>29.414029736081449</v>
      </c>
      <c r="C1271" s="2">
        <v>19.465828075925831</v>
      </c>
      <c r="AN1271" s="3">
        <f t="shared" si="62"/>
        <v>17.155127228512359</v>
      </c>
      <c r="AO1271" s="3">
        <f t="shared" si="63"/>
        <v>110.91291277060327</v>
      </c>
    </row>
    <row r="1272" spans="1:41" x14ac:dyDescent="0.3">
      <c r="A1272" s="2">
        <v>11.414296813230941</v>
      </c>
      <c r="B1272" s="2">
        <v>27.519652333788859</v>
      </c>
      <c r="C1272" s="2">
        <v>30.269750970136428</v>
      </c>
      <c r="AN1272" s="3">
        <f t="shared" si="62"/>
        <v>5.0512447532771505</v>
      </c>
      <c r="AO1272" s="3">
        <f t="shared" si="63"/>
        <v>7.420335590951363E-2</v>
      </c>
    </row>
    <row r="1273" spans="1:41" x14ac:dyDescent="0.3">
      <c r="A1273" s="2">
        <v>20.1341648115033</v>
      </c>
      <c r="B1273" s="2">
        <v>22.16291858712836</v>
      </c>
      <c r="C1273" s="2">
        <v>26.81416174683973</v>
      </c>
      <c r="AN1273" s="3">
        <f t="shared" si="62"/>
        <v>9.6673503961705727</v>
      </c>
      <c r="AO1273" s="3">
        <f t="shared" si="63"/>
        <v>10.132674982074672</v>
      </c>
    </row>
    <row r="1274" spans="1:41" x14ac:dyDescent="0.3">
      <c r="A1274" s="2">
        <v>34.081530455826893</v>
      </c>
      <c r="B1274" s="2">
        <v>37.938906976231237</v>
      </c>
      <c r="C1274" s="2">
        <v>32.168681420910843</v>
      </c>
      <c r="AN1274" s="3">
        <f t="shared" si="62"/>
        <v>160.44660837706996</v>
      </c>
      <c r="AO1274" s="3">
        <f t="shared" si="63"/>
        <v>4.7146886475711973</v>
      </c>
    </row>
    <row r="1275" spans="1:41" x14ac:dyDescent="0.3">
      <c r="A1275" s="2">
        <v>5.3180859255071162</v>
      </c>
      <c r="B1275" s="2">
        <v>22.95447758836244</v>
      </c>
      <c r="C1275" s="2">
        <v>21.848736893777289</v>
      </c>
      <c r="AN1275" s="3">
        <f t="shared" si="62"/>
        <v>5.3716280812911137</v>
      </c>
      <c r="AO1275" s="3">
        <f t="shared" si="63"/>
        <v>66.399863625429248</v>
      </c>
    </row>
    <row r="1276" spans="1:41" x14ac:dyDescent="0.3">
      <c r="A1276" s="2">
        <v>23.632339484389821</v>
      </c>
      <c r="B1276" s="2">
        <v>16.52218764227765</v>
      </c>
      <c r="C1276" s="2">
        <v>27.361461902780171</v>
      </c>
      <c r="AN1276" s="3">
        <f t="shared" si="62"/>
        <v>76.561926861754429</v>
      </c>
      <c r="AO1276" s="3">
        <f t="shared" si="63"/>
        <v>6.9478957326201218</v>
      </c>
    </row>
    <row r="1277" spans="1:41" x14ac:dyDescent="0.3">
      <c r="A1277" s="2">
        <v>0.99665990214186928</v>
      </c>
      <c r="B1277" s="2">
        <v>16.831744606778958</v>
      </c>
      <c r="C1277" s="2">
        <v>31.545992310737699</v>
      </c>
      <c r="AN1277" s="3">
        <f t="shared" si="62"/>
        <v>71.240525773740529</v>
      </c>
      <c r="AO1277" s="3">
        <f t="shared" si="63"/>
        <v>2.3982990748020363</v>
      </c>
    </row>
    <row r="1278" spans="1:41" x14ac:dyDescent="0.3">
      <c r="A1278" s="2">
        <v>14.628814863544671</v>
      </c>
      <c r="B1278" s="2">
        <v>31.832056567452721</v>
      </c>
      <c r="C1278" s="2">
        <v>33.82113954094639</v>
      </c>
      <c r="AN1278" s="3">
        <f t="shared" si="62"/>
        <v>43.032309998699084</v>
      </c>
      <c r="AO1278" s="3">
        <f t="shared" si="63"/>
        <v>14.621381436569976</v>
      </c>
    </row>
    <row r="1279" spans="1:41" x14ac:dyDescent="0.3">
      <c r="A1279" s="2">
        <v>5.0855714622908756</v>
      </c>
      <c r="B1279" s="2">
        <v>17.589099432733889</v>
      </c>
      <c r="C1279" s="2">
        <v>18.631356006726559</v>
      </c>
      <c r="AN1279" s="3">
        <f t="shared" si="62"/>
        <v>59.029341181852928</v>
      </c>
      <c r="AO1279" s="3">
        <f t="shared" si="63"/>
        <v>129.18577491868572</v>
      </c>
    </row>
    <row r="1280" spans="1:41" x14ac:dyDescent="0.3">
      <c r="A1280" s="2">
        <v>4.2663134204415911</v>
      </c>
      <c r="B1280" s="2">
        <v>19.033923219153021</v>
      </c>
      <c r="C1280" s="2">
        <v>33.975258663055683</v>
      </c>
      <c r="AN1280" s="3">
        <f t="shared" si="62"/>
        <v>38.915534397367303</v>
      </c>
      <c r="AO1280" s="3">
        <f t="shared" si="63"/>
        <v>15.823772918631914</v>
      </c>
    </row>
    <row r="1281" spans="1:41" x14ac:dyDescent="0.3">
      <c r="A1281" s="2">
        <v>2.660997155840914</v>
      </c>
      <c r="B1281" s="2">
        <v>27.35559605216848</v>
      </c>
      <c r="C1281" s="2">
        <v>32.601039862687401</v>
      </c>
      <c r="AN1281" s="3">
        <f t="shared" si="62"/>
        <v>4.340727070136511</v>
      </c>
      <c r="AO1281" s="3">
        <f t="shared" si="63"/>
        <v>6.7792111033484836</v>
      </c>
    </row>
    <row r="1282" spans="1:41" x14ac:dyDescent="0.3">
      <c r="A1282" s="2">
        <v>2.8825047469901031</v>
      </c>
      <c r="B1282" s="2">
        <v>20.811093287912851</v>
      </c>
      <c r="C1282" s="2">
        <v>38.206175576339717</v>
      </c>
      <c r="AN1282" s="3">
        <f t="shared" si="62"/>
        <v>19.901070630637921</v>
      </c>
      <c r="AO1282" s="3">
        <f t="shared" si="63"/>
        <v>67.384849508188253</v>
      </c>
    </row>
    <row r="1283" spans="1:41" x14ac:dyDescent="0.3">
      <c r="A1283" s="2">
        <v>1.2932034712382681</v>
      </c>
      <c r="B1283" s="2">
        <v>15.53787021818702</v>
      </c>
      <c r="C1283" s="2">
        <v>36.36943474920735</v>
      </c>
      <c r="AN1283" s="3">
        <f t="shared" ref="AN1283:AN1346" si="64">(B1283-$AK$2)^2</f>
        <v>94.756298100306893</v>
      </c>
      <c r="AO1283" s="3">
        <f t="shared" ref="AO1283:AO1346" si="65">(C1283-$AK$3)^2</f>
        <v>40.603489019425282</v>
      </c>
    </row>
    <row r="1284" spans="1:41" x14ac:dyDescent="0.3">
      <c r="A1284" s="2">
        <v>5.2742246247115574</v>
      </c>
      <c r="B1284" s="2">
        <v>21.761026356505589</v>
      </c>
      <c r="C1284" s="2">
        <v>24.44395708321446</v>
      </c>
      <c r="AN1284" s="3">
        <f t="shared" si="64"/>
        <v>12.328023588967378</v>
      </c>
      <c r="AO1284" s="3">
        <f t="shared" si="65"/>
        <v>30.840151127824509</v>
      </c>
    </row>
    <row r="1285" spans="1:41" x14ac:dyDescent="0.3">
      <c r="A1285" s="2">
        <v>17.35648383662371</v>
      </c>
      <c r="B1285" s="2">
        <v>18.13110925880331</v>
      </c>
      <c r="C1285" s="2">
        <v>31.167913272711601</v>
      </c>
      <c r="AN1285" s="3">
        <f t="shared" si="64"/>
        <v>50.994532727677594</v>
      </c>
      <c r="AO1285" s="3">
        <f t="shared" si="65"/>
        <v>1.3702229621535853</v>
      </c>
    </row>
    <row r="1286" spans="1:41" x14ac:dyDescent="0.3">
      <c r="A1286" s="2">
        <v>16.81617803445031</v>
      </c>
      <c r="B1286" s="2">
        <v>25.042198969431158</v>
      </c>
      <c r="C1286" s="2">
        <v>21.560916094721762</v>
      </c>
      <c r="AN1286" s="3">
        <f t="shared" si="64"/>
        <v>5.2879726075890213E-2</v>
      </c>
      <c r="AO1286" s="3">
        <f t="shared" si="65"/>
        <v>71.173383980857565</v>
      </c>
    </row>
    <row r="1287" spans="1:41" x14ac:dyDescent="0.3">
      <c r="A1287" s="2">
        <v>6.0295569894290857</v>
      </c>
      <c r="B1287" s="2">
        <v>31.075466690942658</v>
      </c>
      <c r="C1287" s="2">
        <v>35.845371696074487</v>
      </c>
      <c r="AN1287" s="3">
        <f t="shared" si="64"/>
        <v>33.678427842020817</v>
      </c>
      <c r="AO1287" s="3">
        <f t="shared" si="65"/>
        <v>34.19938067261662</v>
      </c>
    </row>
    <row r="1288" spans="1:41" x14ac:dyDescent="0.3">
      <c r="A1288" s="2">
        <v>1.7264355116592811</v>
      </c>
      <c r="B1288" s="2">
        <v>17.131352644682561</v>
      </c>
      <c r="C1288" s="2">
        <v>33.286469431851657</v>
      </c>
      <c r="AN1288" s="3">
        <f t="shared" si="64"/>
        <v>66.272661221127947</v>
      </c>
      <c r="AO1288" s="3">
        <f t="shared" si="65"/>
        <v>10.818319525054829</v>
      </c>
    </row>
    <row r="1289" spans="1:41" x14ac:dyDescent="0.3">
      <c r="A1289" s="2">
        <v>26.466983340462171</v>
      </c>
      <c r="B1289" s="2">
        <v>27.593538555597799</v>
      </c>
      <c r="C1289" s="2">
        <v>36.827671090849257</v>
      </c>
      <c r="AN1289" s="3">
        <f t="shared" si="64"/>
        <v>5.3888221161283036</v>
      </c>
      <c r="AO1289" s="3">
        <f t="shared" si="65"/>
        <v>46.653312967995241</v>
      </c>
    </row>
    <row r="1290" spans="1:41" x14ac:dyDescent="0.3">
      <c r="A1290" s="2">
        <v>23.675054290769921</v>
      </c>
      <c r="B1290" s="2">
        <v>27.338810470903081</v>
      </c>
      <c r="C1290" s="2">
        <v>27.044430954906151</v>
      </c>
      <c r="AN1290" s="3">
        <f t="shared" si="64"/>
        <v>4.2710652840454122</v>
      </c>
      <c r="AO1290" s="3">
        <f t="shared" si="65"/>
        <v>8.7197193161806634</v>
      </c>
    </row>
    <row r="1291" spans="1:41" x14ac:dyDescent="0.3">
      <c r="A1291" s="2">
        <v>17.533126381081171</v>
      </c>
      <c r="B1291" s="2">
        <v>19.844315991173811</v>
      </c>
      <c r="C1291" s="2">
        <v>28.26282823696312</v>
      </c>
      <c r="AN1291" s="3">
        <f t="shared" si="64"/>
        <v>29.461435127454212</v>
      </c>
      <c r="AO1291" s="3">
        <f t="shared" si="65"/>
        <v>3.0085589499122203</v>
      </c>
    </row>
    <row r="1292" spans="1:41" x14ac:dyDescent="0.3">
      <c r="A1292" s="2">
        <v>8.1042615122581871</v>
      </c>
      <c r="B1292" s="2">
        <v>19.321123424727581</v>
      </c>
      <c r="C1292" s="2">
        <v>32.595968205546079</v>
      </c>
      <c r="AN1292" s="3">
        <f t="shared" si="64"/>
        <v>35.414775518033075</v>
      </c>
      <c r="AO1292" s="3">
        <f t="shared" si="65"/>
        <v>6.7528267606101187</v>
      </c>
    </row>
    <row r="1293" spans="1:41" x14ac:dyDescent="0.3">
      <c r="A1293" s="2">
        <v>0.95450328898945691</v>
      </c>
      <c r="B1293" s="2">
        <v>20.33800769862945</v>
      </c>
      <c r="C1293" s="2">
        <v>27.66327003360081</v>
      </c>
      <c r="AN1293" s="3">
        <f t="shared" si="64"/>
        <v>24.345808520512346</v>
      </c>
      <c r="AO1293" s="3">
        <f t="shared" si="65"/>
        <v>5.4479201437042537</v>
      </c>
    </row>
    <row r="1294" spans="1:41" x14ac:dyDescent="0.3">
      <c r="A1294" s="2">
        <v>1.912251968427426</v>
      </c>
      <c r="B1294" s="2">
        <v>18.898062280977189</v>
      </c>
      <c r="C1294" s="2">
        <v>36.606209490547798</v>
      </c>
      <c r="AN1294" s="3">
        <f t="shared" si="64"/>
        <v>40.629056607004792</v>
      </c>
      <c r="AO1294" s="3">
        <f t="shared" si="65"/>
        <v>43.677049661924876</v>
      </c>
    </row>
    <row r="1295" spans="1:41" x14ac:dyDescent="0.3">
      <c r="A1295" s="2">
        <v>13.12434362834057</v>
      </c>
      <c r="B1295" s="2">
        <v>19.922192530390831</v>
      </c>
      <c r="C1295" s="2">
        <v>24.055518515640291</v>
      </c>
      <c r="AN1295" s="3">
        <f t="shared" si="64"/>
        <v>28.622097264851114</v>
      </c>
      <c r="AO1295" s="3">
        <f t="shared" si="65"/>
        <v>35.305338106093544</v>
      </c>
    </row>
    <row r="1296" spans="1:41" x14ac:dyDescent="0.3">
      <c r="A1296" s="2">
        <v>3.5134741423582279</v>
      </c>
      <c r="B1296" s="2">
        <v>20.132481957027458</v>
      </c>
      <c r="C1296" s="2">
        <v>35.880686553266408</v>
      </c>
      <c r="AN1296" s="3">
        <f t="shared" si="64"/>
        <v>26.41623787293295</v>
      </c>
      <c r="AO1296" s="3">
        <f t="shared" si="65"/>
        <v>34.613672052236893</v>
      </c>
    </row>
    <row r="1297" spans="1:41" x14ac:dyDescent="0.3">
      <c r="A1297" s="2">
        <v>2.6131623301418698</v>
      </c>
      <c r="B1297" s="2">
        <v>19.882182120586201</v>
      </c>
      <c r="C1297" s="2">
        <v>28.859672228779409</v>
      </c>
      <c r="AN1297" s="3">
        <f t="shared" si="64"/>
        <v>29.051806470755249</v>
      </c>
      <c r="AO1297" s="3">
        <f t="shared" si="65"/>
        <v>1.2943062532631981</v>
      </c>
    </row>
    <row r="1298" spans="1:41" x14ac:dyDescent="0.3">
      <c r="A1298" s="2">
        <v>3.283763272276143</v>
      </c>
      <c r="B1298" s="2">
        <v>22.975723001666282</v>
      </c>
      <c r="C1298" s="2">
        <v>21.73569115466384</v>
      </c>
      <c r="AN1298" s="3">
        <f t="shared" si="64"/>
        <v>5.2735994244591069</v>
      </c>
      <c r="AO1298" s="3">
        <f t="shared" si="65"/>
        <v>68.254974504288143</v>
      </c>
    </row>
    <row r="1299" spans="1:41" x14ac:dyDescent="0.3">
      <c r="A1299" s="2">
        <v>8.9967132382830647E-2</v>
      </c>
      <c r="B1299" s="2">
        <v>14.16181945577009</v>
      </c>
      <c r="C1299" s="2">
        <v>30.84043006039467</v>
      </c>
      <c r="AN1299" s="3">
        <f t="shared" si="64"/>
        <v>123.4395534935351</v>
      </c>
      <c r="AO1299" s="3">
        <f t="shared" si="65"/>
        <v>0.71078729175901978</v>
      </c>
    </row>
    <row r="1300" spans="1:41" x14ac:dyDescent="0.3">
      <c r="A1300" s="2">
        <v>30.870245454432769</v>
      </c>
      <c r="B1300" s="2">
        <v>30.130165112804569</v>
      </c>
      <c r="C1300" s="2">
        <v>31.847719150123151</v>
      </c>
      <c r="AN1300" s="3">
        <f t="shared" si="64"/>
        <v>23.600263310693474</v>
      </c>
      <c r="AO1300" s="3">
        <f t="shared" si="65"/>
        <v>3.4238732422072355</v>
      </c>
    </row>
    <row r="1301" spans="1:41" x14ac:dyDescent="0.3">
      <c r="A1301" s="2">
        <v>2.0381431081393728</v>
      </c>
      <c r="B1301" s="2">
        <v>23.110308427066631</v>
      </c>
      <c r="C1301" s="2">
        <v>28.887020175492371</v>
      </c>
      <c r="AN1301" s="3">
        <f t="shared" si="64"/>
        <v>4.6735801356078124</v>
      </c>
      <c r="AO1301" s="3">
        <f t="shared" si="65"/>
        <v>1.2328279684849295</v>
      </c>
    </row>
    <row r="1302" spans="1:41" x14ac:dyDescent="0.3">
      <c r="A1302" s="2">
        <v>4.9587647408125513</v>
      </c>
      <c r="B1302" s="2">
        <v>23.066356982208301</v>
      </c>
      <c r="C1302" s="2">
        <v>32.344901987800519</v>
      </c>
      <c r="AN1302" s="3">
        <f t="shared" si="64"/>
        <v>4.8655444164568209</v>
      </c>
      <c r="AO1302" s="3">
        <f t="shared" si="65"/>
        <v>5.5110095340643266</v>
      </c>
    </row>
    <row r="1303" spans="1:41" x14ac:dyDescent="0.3">
      <c r="A1303" s="2">
        <v>26.1707789248272</v>
      </c>
      <c r="B1303" s="2">
        <v>29.460164521960909</v>
      </c>
      <c r="C1303" s="2">
        <v>29.955590483802801</v>
      </c>
      <c r="AN1303" s="3">
        <f t="shared" si="64"/>
        <v>17.539424665172813</v>
      </c>
      <c r="AO1303" s="3">
        <f t="shared" si="65"/>
        <v>1.7436935666124353E-3</v>
      </c>
    </row>
    <row r="1304" spans="1:41" x14ac:dyDescent="0.3">
      <c r="A1304" s="2">
        <v>2.4094240517873349</v>
      </c>
      <c r="B1304" s="2">
        <v>27.682699000670031</v>
      </c>
      <c r="C1304" s="2">
        <v>28.477029227885001</v>
      </c>
      <c r="AN1304" s="3">
        <f t="shared" si="64"/>
        <v>5.8107229024497427</v>
      </c>
      <c r="AO1304" s="3">
        <f t="shared" si="65"/>
        <v>2.3113692929119405</v>
      </c>
    </row>
    <row r="1305" spans="1:41" x14ac:dyDescent="0.3">
      <c r="A1305" s="2">
        <v>15.276570404195439</v>
      </c>
      <c r="B1305" s="2">
        <v>20.453987465909702</v>
      </c>
      <c r="C1305" s="2">
        <v>25.944139525617839</v>
      </c>
      <c r="AN1305" s="3">
        <f t="shared" si="64"/>
        <v>23.214737340628869</v>
      </c>
      <c r="AO1305" s="3">
        <f t="shared" si="65"/>
        <v>16.428499267568295</v>
      </c>
    </row>
    <row r="1306" spans="1:41" x14ac:dyDescent="0.3">
      <c r="A1306" s="2">
        <v>23.398038460317359</v>
      </c>
      <c r="B1306" s="2">
        <v>28.10974527534793</v>
      </c>
      <c r="C1306" s="2">
        <v>35.529690127709628</v>
      </c>
      <c r="AN1306" s="3">
        <f t="shared" si="64"/>
        <v>8.0519191867362636</v>
      </c>
      <c r="AO1306" s="3">
        <f t="shared" si="65"/>
        <v>30.606808966560031</v>
      </c>
    </row>
    <row r="1307" spans="1:41" x14ac:dyDescent="0.3">
      <c r="A1307" s="2">
        <v>5.5364685506340816</v>
      </c>
      <c r="B1307" s="2">
        <v>30.398732785853049</v>
      </c>
      <c r="C1307" s="2">
        <v>24.022937085846241</v>
      </c>
      <c r="AN1307" s="3">
        <f t="shared" si="64"/>
        <v>26.281800907284918</v>
      </c>
      <c r="AO1307" s="3">
        <f t="shared" si="65"/>
        <v>35.693586258705558</v>
      </c>
    </row>
    <row r="1308" spans="1:41" x14ac:dyDescent="0.3">
      <c r="A1308" s="2">
        <v>16.228752232917529</v>
      </c>
      <c r="B1308" s="2">
        <v>32.68205091887954</v>
      </c>
      <c r="C1308" s="2">
        <v>37.227660650708323</v>
      </c>
      <c r="AN1308" s="3">
        <f t="shared" si="64"/>
        <v>54.906559137175755</v>
      </c>
      <c r="AO1308" s="3">
        <f t="shared" si="65"/>
        <v>52.277420436958074</v>
      </c>
    </row>
    <row r="1309" spans="1:41" x14ac:dyDescent="0.3">
      <c r="A1309" s="2">
        <v>24.4999754491568</v>
      </c>
      <c r="B1309" s="2">
        <v>29.121296869452689</v>
      </c>
      <c r="C1309" s="2">
        <v>34.108330228033807</v>
      </c>
      <c r="AN1309" s="3">
        <f t="shared" si="64"/>
        <v>14.815893966749559</v>
      </c>
      <c r="AO1309" s="3">
        <f t="shared" si="65"/>
        <v>16.900174543730216</v>
      </c>
    </row>
    <row r="1310" spans="1:41" x14ac:dyDescent="0.3">
      <c r="A1310" s="2">
        <v>24.484791289358661</v>
      </c>
      <c r="B1310" s="2">
        <v>24.32257449263124</v>
      </c>
      <c r="C1310" s="2">
        <v>29.497681901658829</v>
      </c>
      <c r="AN1310" s="3">
        <f t="shared" si="64"/>
        <v>0.9017029338387772</v>
      </c>
      <c r="AO1310" s="3">
        <f t="shared" si="65"/>
        <v>0.24966625060709319</v>
      </c>
    </row>
    <row r="1311" spans="1:41" x14ac:dyDescent="0.3">
      <c r="A1311" s="2">
        <v>3.8931514459377792</v>
      </c>
      <c r="B1311" s="2">
        <v>29.1699081904423</v>
      </c>
      <c r="C1311" s="2">
        <v>24.786727956450299</v>
      </c>
      <c r="AN1311" s="3">
        <f t="shared" si="64"/>
        <v>15.192480779731543</v>
      </c>
      <c r="AO1311" s="3">
        <f t="shared" si="65"/>
        <v>27.150561663458198</v>
      </c>
    </row>
    <row r="1312" spans="1:41" x14ac:dyDescent="0.3">
      <c r="A1312" s="2">
        <v>9.1404860257085598</v>
      </c>
      <c r="B1312" s="2">
        <v>28.39190265264493</v>
      </c>
      <c r="C1312" s="2">
        <v>33.337787932962392</v>
      </c>
      <c r="AN1312" s="3">
        <f t="shared" si="64"/>
        <v>9.7328260934216999</v>
      </c>
      <c r="AO1312" s="3">
        <f t="shared" si="65"/>
        <v>11.158538673130845</v>
      </c>
    </row>
    <row r="1313" spans="1:41" x14ac:dyDescent="0.3">
      <c r="A1313" s="2">
        <v>4.8779037464058383</v>
      </c>
      <c r="B1313" s="2">
        <v>16.502093260539059</v>
      </c>
      <c r="C1313" s="2">
        <v>30.13722085011144</v>
      </c>
      <c r="AN1313" s="3">
        <f t="shared" si="64"/>
        <v>76.913981010142351</v>
      </c>
      <c r="AO1313" s="3">
        <f t="shared" si="65"/>
        <v>1.9564402783876784E-2</v>
      </c>
    </row>
    <row r="1314" spans="1:41" x14ac:dyDescent="0.3">
      <c r="A1314" s="2">
        <v>12.72274812914837</v>
      </c>
      <c r="B1314" s="2">
        <v>24.150812806451071</v>
      </c>
      <c r="C1314" s="2">
        <v>44.272272627940218</v>
      </c>
      <c r="AN1314" s="3">
        <f t="shared" si="64"/>
        <v>1.2574080716109792</v>
      </c>
      <c r="AO1314" s="3">
        <f t="shared" si="65"/>
        <v>203.77347196845892</v>
      </c>
    </row>
    <row r="1315" spans="1:41" x14ac:dyDescent="0.3">
      <c r="A1315" s="2">
        <v>1.6778524025127961</v>
      </c>
      <c r="B1315" s="2">
        <v>19.596454036729579</v>
      </c>
      <c r="C1315" s="2">
        <v>25.978258718587799</v>
      </c>
      <c r="AN1315" s="3">
        <f t="shared" si="64"/>
        <v>32.213580192381599</v>
      </c>
      <c r="AO1315" s="3">
        <f t="shared" si="65"/>
        <v>16.153078979943047</v>
      </c>
    </row>
    <row r="1316" spans="1:41" x14ac:dyDescent="0.3">
      <c r="A1316" s="2">
        <v>11.67971017677314</v>
      </c>
      <c r="B1316" s="2">
        <v>30.493702665315318</v>
      </c>
      <c r="C1316" s="2">
        <v>34.355288175815147</v>
      </c>
      <c r="AN1316" s="3">
        <f t="shared" si="64"/>
        <v>27.264561154658981</v>
      </c>
      <c r="AO1316" s="3">
        <f t="shared" si="65"/>
        <v>18.991642220350986</v>
      </c>
    </row>
    <row r="1317" spans="1:41" x14ac:dyDescent="0.3">
      <c r="A1317" s="2">
        <v>6.0123411999545997</v>
      </c>
      <c r="B1317" s="2">
        <v>17.55975637274291</v>
      </c>
      <c r="C1317" s="2">
        <v>31.988140589334581</v>
      </c>
      <c r="AN1317" s="3">
        <f t="shared" si="64"/>
        <v>59.481090911501362</v>
      </c>
      <c r="AO1317" s="3">
        <f t="shared" si="65"/>
        <v>3.9632549712894578</v>
      </c>
    </row>
    <row r="1318" spans="1:41" x14ac:dyDescent="0.3">
      <c r="A1318" s="2">
        <v>0.55426206407822765</v>
      </c>
      <c r="B1318" s="2">
        <v>33.151760913226568</v>
      </c>
      <c r="C1318" s="2">
        <v>28.444158328607791</v>
      </c>
      <c r="AN1318" s="3">
        <f t="shared" si="64"/>
        <v>62.088191058268329</v>
      </c>
      <c r="AO1318" s="3">
        <f t="shared" si="65"/>
        <v>2.4123982820685734</v>
      </c>
    </row>
    <row r="1319" spans="1:41" x14ac:dyDescent="0.3">
      <c r="A1319" s="2">
        <v>20.15533953978241</v>
      </c>
      <c r="B1319" s="2">
        <v>29.267799221310241</v>
      </c>
      <c r="C1319" s="2">
        <v>30.304411899926109</v>
      </c>
      <c r="AN1319" s="3">
        <f t="shared" si="64"/>
        <v>15.965173610668632</v>
      </c>
      <c r="AO1319" s="3">
        <f t="shared" si="65"/>
        <v>9.4288213579667601E-2</v>
      </c>
    </row>
    <row r="1320" spans="1:41" x14ac:dyDescent="0.3">
      <c r="A1320" s="2">
        <v>23.639662083635979</v>
      </c>
      <c r="B1320" s="2">
        <v>24.132248642361549</v>
      </c>
      <c r="C1320" s="2">
        <v>33.119728764645942</v>
      </c>
      <c r="AN1320" s="3">
        <f t="shared" si="64"/>
        <v>1.299386256732487</v>
      </c>
      <c r="AO1320" s="3">
        <f t="shared" si="65"/>
        <v>9.7492613846268998</v>
      </c>
    </row>
    <row r="1321" spans="1:41" x14ac:dyDescent="0.3">
      <c r="A1321" s="2">
        <v>8.4250914427850816</v>
      </c>
      <c r="B1321" s="2">
        <v>21.5828568115124</v>
      </c>
      <c r="C1321" s="2">
        <v>28.073377236580789</v>
      </c>
      <c r="AN1321" s="3">
        <f t="shared" si="64"/>
        <v>13.610920322701126</v>
      </c>
      <c r="AO1321" s="3">
        <f t="shared" si="65"/>
        <v>3.701663655498888</v>
      </c>
    </row>
    <row r="1322" spans="1:41" x14ac:dyDescent="0.3">
      <c r="A1322" s="2">
        <v>23.157034059282289</v>
      </c>
      <c r="B1322" s="2">
        <v>20.547742151647022</v>
      </c>
      <c r="C1322" s="2">
        <v>32.140104389854621</v>
      </c>
      <c r="AN1322" s="3">
        <f t="shared" si="64"/>
        <v>22.320075736102151</v>
      </c>
      <c r="AO1322" s="3">
        <f t="shared" si="65"/>
        <v>4.5914047714016668</v>
      </c>
    </row>
    <row r="1323" spans="1:41" x14ac:dyDescent="0.3">
      <c r="A1323" s="2">
        <v>3.6729531226922361</v>
      </c>
      <c r="B1323" s="2">
        <v>18.457143273002199</v>
      </c>
      <c r="C1323" s="2">
        <v>25.0247458689681</v>
      </c>
      <c r="AN1323" s="3">
        <f t="shared" si="64"/>
        <v>46.444383359707572</v>
      </c>
      <c r="AO1323" s="3">
        <f t="shared" si="65"/>
        <v>24.726772359335683</v>
      </c>
    </row>
    <row r="1324" spans="1:41" x14ac:dyDescent="0.3">
      <c r="A1324" s="2">
        <v>35.603536629105747</v>
      </c>
      <c r="B1324" s="2">
        <v>20.983339964670058</v>
      </c>
      <c r="C1324" s="2">
        <v>30.26130583954971</v>
      </c>
      <c r="AN1324" s="3">
        <f t="shared" si="64"/>
        <v>18.393933476251654</v>
      </c>
      <c r="AO1324" s="3">
        <f t="shared" si="65"/>
        <v>6.9673719519287011E-2</v>
      </c>
    </row>
    <row r="1325" spans="1:41" x14ac:dyDescent="0.3">
      <c r="A1325" s="2">
        <v>0.25303755255605381</v>
      </c>
      <c r="B1325" s="2">
        <v>21.79803707476956</v>
      </c>
      <c r="C1325" s="2">
        <v>28.998908606339938</v>
      </c>
      <c r="AN1325" s="3">
        <f t="shared" si="64"/>
        <v>12.069494604242255</v>
      </c>
      <c r="AO1325" s="3">
        <f t="shared" si="65"/>
        <v>0.99688130429062161</v>
      </c>
    </row>
    <row r="1326" spans="1:41" x14ac:dyDescent="0.3">
      <c r="A1326" s="2">
        <v>4.7087525995675161</v>
      </c>
      <c r="B1326" s="2">
        <v>17.801110691118961</v>
      </c>
      <c r="C1326" s="2">
        <v>21.382495682867599</v>
      </c>
      <c r="AN1326" s="3">
        <f t="shared" si="64"/>
        <v>55.816501443441538</v>
      </c>
      <c r="AO1326" s="3">
        <f t="shared" si="65"/>
        <v>74.215681149022572</v>
      </c>
    </row>
    <row r="1327" spans="1:41" x14ac:dyDescent="0.3">
      <c r="A1327" s="2">
        <v>10.69406836199504</v>
      </c>
      <c r="B1327" s="2">
        <v>24.469773570423332</v>
      </c>
      <c r="C1327" s="2">
        <v>32.25900191718388</v>
      </c>
      <c r="AN1327" s="3">
        <f t="shared" si="64"/>
        <v>0.64381578434769604</v>
      </c>
      <c r="AO1327" s="3">
        <f t="shared" si="65"/>
        <v>5.1150782565493351</v>
      </c>
    </row>
    <row r="1328" spans="1:41" x14ac:dyDescent="0.3">
      <c r="A1328" s="2">
        <v>4.4773605847224038</v>
      </c>
      <c r="B1328" s="2">
        <v>22.461971166615349</v>
      </c>
      <c r="C1328" s="2">
        <v>27.97065471167371</v>
      </c>
      <c r="AN1328" s="3">
        <f t="shared" si="64"/>
        <v>7.8971325673787689</v>
      </c>
      <c r="AO1328" s="3">
        <f t="shared" si="65"/>
        <v>4.1074858503365625</v>
      </c>
    </row>
    <row r="1329" spans="1:41" x14ac:dyDescent="0.3">
      <c r="A1329" s="2">
        <v>1.8921656566678939</v>
      </c>
      <c r="B1329" s="2">
        <v>25.46981637217602</v>
      </c>
      <c r="C1329" s="2">
        <v>31.9101187806816</v>
      </c>
      <c r="AN1329" s="3">
        <f t="shared" si="64"/>
        <v>3.9070060959059502E-2</v>
      </c>
      <c r="AO1329" s="3">
        <f t="shared" si="65"/>
        <v>3.6586919033362952</v>
      </c>
    </row>
    <row r="1330" spans="1:41" x14ac:dyDescent="0.3">
      <c r="A1330" s="2">
        <v>24.77612679440518</v>
      </c>
      <c r="B1330" s="2">
        <v>21.705937894737179</v>
      </c>
      <c r="C1330" s="2">
        <v>34.547332415026531</v>
      </c>
      <c r="AN1330" s="3">
        <f t="shared" si="64"/>
        <v>12.717903667710946</v>
      </c>
      <c r="AO1330" s="3">
        <f t="shared" si="65"/>
        <v>20.70235780567965</v>
      </c>
    </row>
    <row r="1331" spans="1:41" x14ac:dyDescent="0.3">
      <c r="A1331" s="2">
        <v>4.4188273651974814</v>
      </c>
      <c r="B1331" s="2">
        <v>27.938929560298561</v>
      </c>
      <c r="C1331" s="2">
        <v>18.948549779742969</v>
      </c>
      <c r="AN1331" s="3">
        <f t="shared" si="64"/>
        <v>7.1116871343618531</v>
      </c>
      <c r="AO1331" s="3">
        <f t="shared" si="65"/>
        <v>122.07594301359988</v>
      </c>
    </row>
    <row r="1332" spans="1:41" x14ac:dyDescent="0.3">
      <c r="A1332" s="2">
        <v>1.3646849797094931</v>
      </c>
      <c r="B1332" s="2">
        <v>29.299808142066691</v>
      </c>
      <c r="C1332" s="2">
        <v>33.761327358058452</v>
      </c>
      <c r="AN1332" s="3">
        <f t="shared" si="64"/>
        <v>16.221990707126928</v>
      </c>
      <c r="AO1332" s="3">
        <f t="shared" si="65"/>
        <v>14.167540300727936</v>
      </c>
    </row>
    <row r="1333" spans="1:41" x14ac:dyDescent="0.3">
      <c r="A1333" s="2">
        <v>11.42053672957265</v>
      </c>
      <c r="B1333" s="2">
        <v>26.17157401665305</v>
      </c>
      <c r="C1333" s="2">
        <v>29.8307890297258</v>
      </c>
      <c r="AN1333" s="3">
        <f t="shared" si="64"/>
        <v>0.80895476276398781</v>
      </c>
      <c r="AO1333" s="3">
        <f t="shared" si="65"/>
        <v>2.7741904170965406E-2</v>
      </c>
    </row>
    <row r="1334" spans="1:41" x14ac:dyDescent="0.3">
      <c r="A1334" s="2">
        <v>6.3878418225137867</v>
      </c>
      <c r="B1334" s="2">
        <v>26.031275047172521</v>
      </c>
      <c r="C1334" s="2">
        <v>37.211095055318978</v>
      </c>
      <c r="AN1334" s="3">
        <f t="shared" si="64"/>
        <v>0.57626341080980903</v>
      </c>
      <c r="AO1334" s="3">
        <f t="shared" si="65"/>
        <v>52.038145989440331</v>
      </c>
    </row>
    <row r="1335" spans="1:41" x14ac:dyDescent="0.3">
      <c r="A1335" s="2">
        <v>20.929505892650141</v>
      </c>
      <c r="B1335" s="2">
        <v>23.365850771236609</v>
      </c>
      <c r="C1335" s="2">
        <v>35.252540996140922</v>
      </c>
      <c r="AN1335" s="3">
        <f t="shared" si="64"/>
        <v>3.6339953987786511</v>
      </c>
      <c r="AO1335" s="3">
        <f t="shared" si="65"/>
        <v>27.61705299783489</v>
      </c>
    </row>
    <row r="1336" spans="1:41" x14ac:dyDescent="0.3">
      <c r="A1336" s="2">
        <v>4.0551246198571844</v>
      </c>
      <c r="B1336" s="2">
        <v>29.134670445887672</v>
      </c>
      <c r="C1336" s="2">
        <v>25.63240890686259</v>
      </c>
      <c r="AN1336" s="3">
        <f t="shared" si="64"/>
        <v>14.919026408199809</v>
      </c>
      <c r="AO1336" s="3">
        <f t="shared" si="65"/>
        <v>19.052693643003156</v>
      </c>
    </row>
    <row r="1337" spans="1:41" x14ac:dyDescent="0.3">
      <c r="A1337" s="2">
        <v>0.20657974556031461</v>
      </c>
      <c r="B1337" s="2">
        <v>23.62103623538799</v>
      </c>
      <c r="C1337" s="2">
        <v>20.5644679850576</v>
      </c>
      <c r="AN1337" s="3">
        <f t="shared" si="64"/>
        <v>2.7261928164272846</v>
      </c>
      <c r="AO1337" s="3">
        <f t="shared" si="65"/>
        <v>88.979226146076527</v>
      </c>
    </row>
    <row r="1338" spans="1:41" x14ac:dyDescent="0.3">
      <c r="A1338" s="2">
        <v>8.1007898704741503</v>
      </c>
      <c r="B1338" s="2">
        <v>26.82000003247655</v>
      </c>
      <c r="C1338" s="2">
        <v>22.196447995044849</v>
      </c>
      <c r="AN1338" s="3">
        <f t="shared" si="64"/>
        <v>2.3958245805701881</v>
      </c>
      <c r="AO1338" s="3">
        <f t="shared" si="65"/>
        <v>60.854041523907199</v>
      </c>
    </row>
    <row r="1339" spans="1:41" x14ac:dyDescent="0.3">
      <c r="A1339" s="2">
        <v>25.74265402480891</v>
      </c>
      <c r="B1339" s="2">
        <v>17.095558294494339</v>
      </c>
      <c r="C1339" s="2">
        <v>28.188119010426089</v>
      </c>
      <c r="AN1339" s="3">
        <f t="shared" si="64"/>
        <v>66.856731909501747</v>
      </c>
      <c r="AO1339" s="3">
        <f t="shared" si="65"/>
        <v>3.2733096843580407</v>
      </c>
    </row>
    <row r="1340" spans="1:41" x14ac:dyDescent="0.3">
      <c r="A1340" s="2">
        <v>1.258031658731005</v>
      </c>
      <c r="B1340" s="2">
        <v>20.52556274824445</v>
      </c>
      <c r="C1340" s="2">
        <v>18.271125303566631</v>
      </c>
      <c r="AN1340" s="3">
        <f t="shared" si="64"/>
        <v>22.53013697403054</v>
      </c>
      <c r="AO1340" s="3">
        <f t="shared" si="65"/>
        <v>137.50429968327572</v>
      </c>
    </row>
    <row r="1341" spans="1:41" x14ac:dyDescent="0.3">
      <c r="A1341" s="2">
        <v>12.88041690342517</v>
      </c>
      <c r="B1341" s="2">
        <v>29.351141885909058</v>
      </c>
      <c r="C1341" s="2">
        <v>25.261451935541551</v>
      </c>
      <c r="AN1341" s="3">
        <f t="shared" si="64"/>
        <v>16.638134900888897</v>
      </c>
      <c r="AO1341" s="3">
        <f t="shared" si="65"/>
        <v>22.428711919829155</v>
      </c>
    </row>
    <row r="1342" spans="1:41" x14ac:dyDescent="0.3">
      <c r="A1342" s="2">
        <v>27.590050524143361</v>
      </c>
      <c r="B1342" s="2">
        <v>31.108758615526931</v>
      </c>
      <c r="C1342" s="2">
        <v>33.908219570431228</v>
      </c>
      <c r="AN1342" s="3">
        <f t="shared" si="64"/>
        <v>34.06594303179817</v>
      </c>
      <c r="AO1342" s="3">
        <f t="shared" si="65"/>
        <v>15.294916121257801</v>
      </c>
    </row>
    <row r="1343" spans="1:41" x14ac:dyDescent="0.3">
      <c r="A1343" s="2">
        <v>17.00538290495895</v>
      </c>
      <c r="B1343" s="2">
        <v>26.184394897870391</v>
      </c>
      <c r="C1343" s="2">
        <v>32.372023731329577</v>
      </c>
      <c r="AN1343" s="3">
        <f t="shared" si="64"/>
        <v>0.83218182929659934</v>
      </c>
      <c r="AO1343" s="3">
        <f t="shared" si="65"/>
        <v>5.6390846351785804</v>
      </c>
    </row>
    <row r="1344" spans="1:41" x14ac:dyDescent="0.3">
      <c r="A1344" s="2">
        <v>10.54731189159463</v>
      </c>
      <c r="B1344" s="2">
        <v>31.660965734336859</v>
      </c>
      <c r="C1344" s="2">
        <v>35.732642008190673</v>
      </c>
      <c r="AN1344" s="3">
        <f t="shared" si="64"/>
        <v>40.816903986067715</v>
      </c>
      <c r="AO1344" s="3">
        <f t="shared" si="65"/>
        <v>32.893596892355141</v>
      </c>
    </row>
    <row r="1345" spans="1:41" x14ac:dyDescent="0.3">
      <c r="A1345" s="2">
        <v>3.9065162127494251</v>
      </c>
      <c r="B1345" s="2">
        <v>36.535933827543211</v>
      </c>
      <c r="C1345" s="2">
        <v>30.837858060115401</v>
      </c>
      <c r="AN1345" s="3">
        <f t="shared" si="64"/>
        <v>126.8727159209638</v>
      </c>
      <c r="AO1345" s="3">
        <f t="shared" si="65"/>
        <v>0.70645709256478295</v>
      </c>
    </row>
    <row r="1346" spans="1:41" x14ac:dyDescent="0.3">
      <c r="A1346" s="2">
        <v>7.3987890486440353</v>
      </c>
      <c r="B1346" s="2">
        <v>26.048552060987632</v>
      </c>
      <c r="C1346" s="2">
        <v>31.872570118870961</v>
      </c>
      <c r="AN1346" s="3">
        <f t="shared" si="64"/>
        <v>0.60279256485134347</v>
      </c>
      <c r="AO1346" s="3">
        <f t="shared" si="65"/>
        <v>3.516457842074078</v>
      </c>
    </row>
    <row r="1347" spans="1:41" x14ac:dyDescent="0.3">
      <c r="A1347" s="2">
        <v>6.7524894878242003</v>
      </c>
      <c r="B1347" s="2">
        <v>29.103631921862</v>
      </c>
      <c r="C1347" s="2">
        <v>33.23195589545535</v>
      </c>
      <c r="AN1347" s="3">
        <f t="shared" ref="AN1347:AN1410" si="66">(B1347-$AK$2)^2</f>
        <v>14.680216234502202</v>
      </c>
      <c r="AO1347" s="3">
        <f t="shared" ref="AO1347:AO1410" si="67">(C1347-$AK$3)^2</f>
        <v>10.462687973379639</v>
      </c>
    </row>
    <row r="1348" spans="1:41" x14ac:dyDescent="0.3">
      <c r="A1348" s="2">
        <v>16.782409024143739</v>
      </c>
      <c r="B1348" s="2">
        <v>28.522790737825051</v>
      </c>
      <c r="C1348" s="2">
        <v>41.591886023241202</v>
      </c>
      <c r="AN1348" s="3">
        <f t="shared" si="66"/>
        <v>10.566633405676889</v>
      </c>
      <c r="AO1348" s="3">
        <f t="shared" si="67"/>
        <v>134.43331102620556</v>
      </c>
    </row>
    <row r="1349" spans="1:41" x14ac:dyDescent="0.3">
      <c r="A1349" s="2">
        <v>12.12011880082399</v>
      </c>
      <c r="B1349" s="2">
        <v>24.525673185443441</v>
      </c>
      <c r="C1349" s="2">
        <v>35.286569560222297</v>
      </c>
      <c r="AN1349" s="3">
        <f t="shared" si="66"/>
        <v>0.55723493741659835</v>
      </c>
      <c r="AO1349" s="3">
        <f t="shared" si="67"/>
        <v>27.975864281489748</v>
      </c>
    </row>
    <row r="1350" spans="1:41" x14ac:dyDescent="0.3">
      <c r="A1350" s="2">
        <v>48.840388585833047</v>
      </c>
      <c r="B1350" s="2">
        <v>28.2205836587177</v>
      </c>
      <c r="C1350" s="2">
        <v>32.908857921526931</v>
      </c>
      <c r="AN1350" s="3">
        <f t="shared" si="66"/>
        <v>8.6932321955958969</v>
      </c>
      <c r="AO1350" s="3">
        <f t="shared" si="67"/>
        <v>8.4768897855539418</v>
      </c>
    </row>
    <row r="1351" spans="1:41" x14ac:dyDescent="0.3">
      <c r="A1351" s="2">
        <v>1.2074332574640809</v>
      </c>
      <c r="B1351" s="2">
        <v>13.3333869657506</v>
      </c>
      <c r="C1351" s="2">
        <v>37.42972945136183</v>
      </c>
      <c r="AN1351" s="3">
        <f t="shared" si="66"/>
        <v>142.53417958393484</v>
      </c>
      <c r="AO1351" s="3">
        <f t="shared" si="67"/>
        <v>55.240293432022668</v>
      </c>
    </row>
    <row r="1352" spans="1:41" x14ac:dyDescent="0.3">
      <c r="A1352" s="2">
        <v>9.8094639507164612</v>
      </c>
      <c r="B1352" s="2">
        <v>28.26225382069531</v>
      </c>
      <c r="C1352" s="2">
        <v>38.395914609429489</v>
      </c>
      <c r="AN1352" s="3">
        <f t="shared" si="66"/>
        <v>8.9406916066173281</v>
      </c>
      <c r="AO1352" s="3">
        <f t="shared" si="67"/>
        <v>70.535920407653023</v>
      </c>
    </row>
    <row r="1353" spans="1:41" x14ac:dyDescent="0.3">
      <c r="A1353" s="2">
        <v>6.2669235620681061</v>
      </c>
      <c r="B1353" s="2">
        <v>26.245118653980231</v>
      </c>
      <c r="C1353" s="2">
        <v>27.220278491080219</v>
      </c>
      <c r="AN1353" s="3">
        <f t="shared" si="66"/>
        <v>0.94665848317855972</v>
      </c>
      <c r="AO1353" s="3">
        <f t="shared" si="67"/>
        <v>7.712115283996666</v>
      </c>
    </row>
    <row r="1354" spans="1:41" x14ac:dyDescent="0.3">
      <c r="A1354" s="2">
        <v>1.3062827815360769</v>
      </c>
      <c r="B1354" s="2">
        <v>17.023458359691439</v>
      </c>
      <c r="C1354" s="2">
        <v>30.754054109560091</v>
      </c>
      <c r="AN1354" s="3">
        <f t="shared" si="66"/>
        <v>68.04099447320192</v>
      </c>
      <c r="AO1354" s="3">
        <f t="shared" si="67"/>
        <v>0.57260407449403583</v>
      </c>
    </row>
    <row r="1355" spans="1:41" x14ac:dyDescent="0.3">
      <c r="A1355" s="2">
        <v>10.41373369850894</v>
      </c>
      <c r="B1355" s="2">
        <v>22.211191377330358</v>
      </c>
      <c r="C1355" s="2">
        <v>28.698801057493959</v>
      </c>
      <c r="AN1355" s="3">
        <f t="shared" si="66"/>
        <v>9.3694976348296297</v>
      </c>
      <c r="AO1355" s="3">
        <f t="shared" si="67"/>
        <v>1.6862242678606241</v>
      </c>
    </row>
    <row r="1356" spans="1:41" x14ac:dyDescent="0.3">
      <c r="A1356" s="2">
        <v>12.82795803942923</v>
      </c>
      <c r="B1356" s="2">
        <v>23.045464905088551</v>
      </c>
      <c r="C1356" s="2">
        <v>38.734200830327858</v>
      </c>
      <c r="AN1356" s="3">
        <f t="shared" si="66"/>
        <v>4.9581482954045182</v>
      </c>
      <c r="AO1356" s="3">
        <f t="shared" si="67"/>
        <v>76.332596665830877</v>
      </c>
    </row>
    <row r="1357" spans="1:41" x14ac:dyDescent="0.3">
      <c r="A1357" s="2">
        <v>11.55709953224857</v>
      </c>
      <c r="B1357" s="2">
        <v>24.772535569596219</v>
      </c>
      <c r="C1357" s="2">
        <v>32.483890943541432</v>
      </c>
      <c r="AN1357" s="3">
        <f t="shared" si="66"/>
        <v>0.24961946677909366</v>
      </c>
      <c r="AO1357" s="3">
        <f t="shared" si="67"/>
        <v>6.1828956071596073</v>
      </c>
    </row>
    <row r="1358" spans="1:41" x14ac:dyDescent="0.3">
      <c r="A1358" s="2">
        <v>1.1900113146286</v>
      </c>
      <c r="B1358" s="2">
        <v>29.822403543744699</v>
      </c>
      <c r="C1358" s="2">
        <v>32.841774881429806</v>
      </c>
      <c r="AN1358" s="3">
        <f t="shared" si="66"/>
        <v>20.704762797623552</v>
      </c>
      <c r="AO1358" s="3">
        <f t="shared" si="67"/>
        <v>8.0907640516790416</v>
      </c>
    </row>
    <row r="1359" spans="1:41" x14ac:dyDescent="0.3">
      <c r="A1359" s="2">
        <v>2.5409042063096128</v>
      </c>
      <c r="B1359" s="2">
        <v>21.352087458399041</v>
      </c>
      <c r="C1359" s="2">
        <v>36.232928467645557</v>
      </c>
      <c r="AN1359" s="3">
        <f t="shared" si="66"/>
        <v>15.366928679740973</v>
      </c>
      <c r="AO1359" s="3">
        <f t="shared" si="67"/>
        <v>38.882463259623862</v>
      </c>
    </row>
    <row r="1360" spans="1:41" x14ac:dyDescent="0.3">
      <c r="A1360" s="2">
        <v>1.5372492486465761</v>
      </c>
      <c r="B1360" s="2">
        <v>29.094473258745492</v>
      </c>
      <c r="C1360" s="2">
        <v>30.63874987947051</v>
      </c>
      <c r="AN1360" s="3">
        <f t="shared" si="66"/>
        <v>14.610117700892088</v>
      </c>
      <c r="AO1360" s="3">
        <f t="shared" si="67"/>
        <v>0.41139631864625248</v>
      </c>
    </row>
    <row r="1361" spans="1:41" x14ac:dyDescent="0.3">
      <c r="A1361" s="2">
        <v>18.895731623056559</v>
      </c>
      <c r="B1361" s="2">
        <v>24.05605562464963</v>
      </c>
      <c r="C1361" s="2">
        <v>27.436092771001331</v>
      </c>
      <c r="AN1361" s="3">
        <f t="shared" si="66"/>
        <v>1.4788974267354256</v>
      </c>
      <c r="AO1361" s="3">
        <f t="shared" si="67"/>
        <v>6.5600285570860608</v>
      </c>
    </row>
    <row r="1362" spans="1:41" x14ac:dyDescent="0.3">
      <c r="A1362" s="2">
        <v>3.355825568163747</v>
      </c>
      <c r="B1362" s="2">
        <v>15.668932458980221</v>
      </c>
      <c r="C1362" s="2">
        <v>30.342617560085209</v>
      </c>
      <c r="AN1362" s="3">
        <f t="shared" si="66"/>
        <v>92.221881087672642</v>
      </c>
      <c r="AO1362" s="3">
        <f t="shared" si="67"/>
        <v>0.11921104094547032</v>
      </c>
    </row>
    <row r="1363" spans="1:41" x14ac:dyDescent="0.3">
      <c r="A1363" s="2">
        <v>6.2119639562310397E-2</v>
      </c>
      <c r="B1363" s="2">
        <v>19.60919740738985</v>
      </c>
      <c r="C1363" s="2">
        <v>23.508908255571178</v>
      </c>
      <c r="AN1363" s="3">
        <f t="shared" si="66"/>
        <v>32.069087466380104</v>
      </c>
      <c r="AO1363" s="3">
        <f t="shared" si="67"/>
        <v>42.09985084657724</v>
      </c>
    </row>
    <row r="1364" spans="1:41" x14ac:dyDescent="0.3">
      <c r="A1364" s="2">
        <v>6.3283173332984619</v>
      </c>
      <c r="B1364" s="2">
        <v>28.53609024753516</v>
      </c>
      <c r="C1364" s="2">
        <v>30.0750386319679</v>
      </c>
      <c r="AN1364" s="3">
        <f t="shared" si="66"/>
        <v>10.653274008640953</v>
      </c>
      <c r="AO1364" s="3">
        <f t="shared" si="67"/>
        <v>6.0358279555746443E-3</v>
      </c>
    </row>
    <row r="1365" spans="1:41" x14ac:dyDescent="0.3">
      <c r="A1365" s="2">
        <v>11.2395367906673</v>
      </c>
      <c r="B1365" s="2">
        <v>26.803920760036711</v>
      </c>
      <c r="C1365" s="2">
        <v>35.808392561658351</v>
      </c>
      <c r="AN1365" s="3">
        <f t="shared" si="66"/>
        <v>2.3463066761381932</v>
      </c>
      <c r="AO1365" s="3">
        <f t="shared" si="67"/>
        <v>33.768238423364728</v>
      </c>
    </row>
    <row r="1366" spans="1:41" x14ac:dyDescent="0.3">
      <c r="A1366" s="2">
        <v>5.9248588380712466</v>
      </c>
      <c r="B1366" s="2">
        <v>25.888973286005399</v>
      </c>
      <c r="C1366" s="2">
        <v>27.79889458223434</v>
      </c>
      <c r="AN1366" s="3">
        <f t="shared" si="66"/>
        <v>0.38046493185021912</v>
      </c>
      <c r="AO1366" s="3">
        <f t="shared" si="67"/>
        <v>4.833197609491851</v>
      </c>
    </row>
    <row r="1367" spans="1:41" x14ac:dyDescent="0.3">
      <c r="A1367" s="2">
        <v>1.6610627439540699</v>
      </c>
      <c r="B1367" s="2">
        <v>25.820396756814461</v>
      </c>
      <c r="C1367" s="2">
        <v>26.570726607194651</v>
      </c>
      <c r="AN1367" s="3">
        <f t="shared" si="66"/>
        <v>0.30056914292792125</v>
      </c>
      <c r="AO1367" s="3">
        <f t="shared" si="67"/>
        <v>11.741734449263122</v>
      </c>
    </row>
    <row r="1368" spans="1:41" x14ac:dyDescent="0.3">
      <c r="A1368" s="2">
        <v>4.7032300017666886</v>
      </c>
      <c r="B1368" s="2">
        <v>27.426539343692379</v>
      </c>
      <c r="C1368" s="2">
        <v>25.421720651469641</v>
      </c>
      <c r="AN1368" s="3">
        <f t="shared" si="66"/>
        <v>4.6413723680228998</v>
      </c>
      <c r="AO1368" s="3">
        <f t="shared" si="67"/>
        <v>20.936366006016247</v>
      </c>
    </row>
    <row r="1369" spans="1:41" x14ac:dyDescent="0.3">
      <c r="A1369" s="2">
        <v>0.12229386652266799</v>
      </c>
      <c r="B1369" s="2">
        <v>26.956829930922481</v>
      </c>
      <c r="C1369" s="2">
        <v>32.295855322867027</v>
      </c>
      <c r="AN1369" s="3">
        <f t="shared" si="66"/>
        <v>2.8381299885897038</v>
      </c>
      <c r="AO1369" s="3">
        <f t="shared" si="67"/>
        <v>5.283135725702043</v>
      </c>
    </row>
    <row r="1370" spans="1:41" x14ac:dyDescent="0.3">
      <c r="A1370" s="2">
        <v>8.4854254207333959</v>
      </c>
      <c r="B1370" s="2">
        <v>23.882199032075999</v>
      </c>
      <c r="C1370" s="2">
        <v>30.316640763222448</v>
      </c>
      <c r="AN1370" s="3">
        <f t="shared" si="66"/>
        <v>1.9319772910344399</v>
      </c>
      <c r="AO1370" s="3">
        <f t="shared" si="67"/>
        <v>0.10194784259011778</v>
      </c>
    </row>
    <row r="1371" spans="1:41" x14ac:dyDescent="0.3">
      <c r="A1371" s="2">
        <v>5.7876714060241579</v>
      </c>
      <c r="B1371" s="2">
        <v>37.029489087125818</v>
      </c>
      <c r="C1371" s="2">
        <v>23.557613848066339</v>
      </c>
      <c r="AN1371" s="3">
        <f t="shared" si="66"/>
        <v>138.23490738858527</v>
      </c>
      <c r="AO1371" s="3">
        <f t="shared" si="67"/>
        <v>41.470176473099784</v>
      </c>
    </row>
    <row r="1372" spans="1:41" x14ac:dyDescent="0.3">
      <c r="A1372" s="2">
        <v>3.5072820728101139</v>
      </c>
      <c r="B1372" s="2">
        <v>23.60297333995074</v>
      </c>
      <c r="C1372" s="2">
        <v>23.82492942800549</v>
      </c>
      <c r="AN1372" s="3">
        <f t="shared" si="66"/>
        <v>2.786167051897086</v>
      </c>
      <c r="AO1372" s="3">
        <f t="shared" si="67"/>
        <v>38.098751531607306</v>
      </c>
    </row>
    <row r="1373" spans="1:41" x14ac:dyDescent="0.3">
      <c r="A1373" s="2">
        <v>1.583262900287367</v>
      </c>
      <c r="B1373" s="2">
        <v>23.08365590208232</v>
      </c>
      <c r="C1373" s="2">
        <v>33.049410677338699</v>
      </c>
      <c r="AN1373" s="3">
        <f t="shared" si="66"/>
        <v>4.7895278265047994</v>
      </c>
      <c r="AO1373" s="3">
        <f t="shared" si="67"/>
        <v>9.3150863373381476</v>
      </c>
    </row>
    <row r="1374" spans="1:41" x14ac:dyDescent="0.3">
      <c r="A1374" s="2">
        <v>6.2492265852845339</v>
      </c>
      <c r="B1374" s="2">
        <v>22.4140041167623</v>
      </c>
      <c r="C1374" s="2">
        <v>24.945547845712081</v>
      </c>
      <c r="AN1374" s="3">
        <f t="shared" si="66"/>
        <v>8.1690258509020257</v>
      </c>
      <c r="AO1374" s="3">
        <f t="shared" si="67"/>
        <v>25.520685211119144</v>
      </c>
    </row>
    <row r="1375" spans="1:41" x14ac:dyDescent="0.3">
      <c r="A1375" s="2">
        <v>21.50824874194107</v>
      </c>
      <c r="B1375" s="2">
        <v>17.389534678111112</v>
      </c>
      <c r="C1375" s="2">
        <v>22.455957836534541</v>
      </c>
      <c r="AN1375" s="3">
        <f t="shared" si="66"/>
        <v>62.135701427888094</v>
      </c>
      <c r="AO1375" s="3">
        <f t="shared" si="67"/>
        <v>56.872566213034034</v>
      </c>
    </row>
    <row r="1376" spans="1:41" x14ac:dyDescent="0.3">
      <c r="A1376" s="2">
        <v>5.59174856235229</v>
      </c>
      <c r="B1376" s="2">
        <v>30.06862760912988</v>
      </c>
      <c r="C1376" s="2">
        <v>31.139633555133791</v>
      </c>
      <c r="AN1376" s="3">
        <f t="shared" si="66"/>
        <v>23.006150531356585</v>
      </c>
      <c r="AO1376" s="3">
        <f t="shared" si="67"/>
        <v>1.3048161962502998</v>
      </c>
    </row>
    <row r="1377" spans="1:41" x14ac:dyDescent="0.3">
      <c r="A1377" s="2">
        <v>8.4358664559003351</v>
      </c>
      <c r="B1377" s="2">
        <v>34.927960183815259</v>
      </c>
      <c r="C1377" s="2">
        <v>31.600177560960748</v>
      </c>
      <c r="AN1377" s="3">
        <f t="shared" si="66"/>
        <v>93.234575843886091</v>
      </c>
      <c r="AO1377" s="3">
        <f t="shared" si="67"/>
        <v>2.5690624706895946</v>
      </c>
    </row>
    <row r="1378" spans="1:41" x14ac:dyDescent="0.3">
      <c r="A1378" s="2">
        <v>11.65225685858025</v>
      </c>
      <c r="B1378" s="2">
        <v>24.817168327550281</v>
      </c>
      <c r="C1378" s="2">
        <v>33.064310626611842</v>
      </c>
      <c r="AN1378" s="3">
        <f t="shared" si="66"/>
        <v>0.20701277333788934</v>
      </c>
      <c r="AO1378" s="3">
        <f t="shared" si="67"/>
        <v>9.4062595027521709</v>
      </c>
    </row>
    <row r="1379" spans="1:41" x14ac:dyDescent="0.3">
      <c r="A1379" s="2">
        <v>4.7948673825418462</v>
      </c>
      <c r="B1379" s="2">
        <v>33.801345646543183</v>
      </c>
      <c r="C1379" s="2">
        <v>31.171477282237579</v>
      </c>
      <c r="AN1379" s="3">
        <f t="shared" si="66"/>
        <v>72.747094936605507</v>
      </c>
      <c r="AO1379" s="3">
        <f t="shared" si="67"/>
        <v>1.3785794755920877</v>
      </c>
    </row>
    <row r="1380" spans="1:41" x14ac:dyDescent="0.3">
      <c r="A1380" s="2">
        <v>0.61798442984648705</v>
      </c>
      <c r="B1380" s="2">
        <v>17.554879260671001</v>
      </c>
      <c r="C1380" s="2">
        <v>29.665696382704329</v>
      </c>
      <c r="AN1380" s="3">
        <f t="shared" si="66"/>
        <v>59.556343161561543</v>
      </c>
      <c r="AO1380" s="3">
        <f t="shared" si="67"/>
        <v>0.10999282231949911</v>
      </c>
    </row>
    <row r="1381" spans="1:41" x14ac:dyDescent="0.3">
      <c r="A1381" s="2">
        <v>3.0379188251170808</v>
      </c>
      <c r="B1381" s="2">
        <v>19.581847955850598</v>
      </c>
      <c r="C1381" s="2">
        <v>29.675775308459752</v>
      </c>
      <c r="AN1381" s="3">
        <f t="shared" si="66"/>
        <v>32.37959302143841</v>
      </c>
      <c r="AO1381" s="3">
        <f t="shared" si="67"/>
        <v>0.10340902218660683</v>
      </c>
    </row>
    <row r="1382" spans="1:41" x14ac:dyDescent="0.3">
      <c r="A1382" s="2">
        <v>16.383014013219029</v>
      </c>
      <c r="B1382" s="2">
        <v>30.310462839160511</v>
      </c>
      <c r="C1382" s="2">
        <v>24.573652274695601</v>
      </c>
      <c r="AN1382" s="3">
        <f t="shared" si="66"/>
        <v>25.384546975867494</v>
      </c>
      <c r="AO1382" s="3">
        <f t="shared" si="67"/>
        <v>29.416475763289718</v>
      </c>
    </row>
    <row r="1383" spans="1:41" x14ac:dyDescent="0.3">
      <c r="A1383" s="2">
        <v>2.5553823990620002</v>
      </c>
      <c r="B1383" s="2">
        <v>23.597797224674832</v>
      </c>
      <c r="C1383" s="2">
        <v>27.671244832877999</v>
      </c>
      <c r="AN1383" s="3">
        <f t="shared" si="66"/>
        <v>2.8034735963204933</v>
      </c>
      <c r="AO1383" s="3">
        <f t="shared" si="67"/>
        <v>5.4107561339182881</v>
      </c>
    </row>
    <row r="1384" spans="1:41" x14ac:dyDescent="0.3">
      <c r="A1384" s="2">
        <v>7.1730898958487899</v>
      </c>
      <c r="B1384" s="2">
        <v>25.163150209064469</v>
      </c>
      <c r="C1384" s="2">
        <v>35.934916992293942</v>
      </c>
      <c r="AN1384" s="3">
        <f t="shared" si="66"/>
        <v>1.1882020784034763E-2</v>
      </c>
      <c r="AO1384" s="3">
        <f t="shared" si="67"/>
        <v>35.254725053711013</v>
      </c>
    </row>
    <row r="1385" spans="1:41" x14ac:dyDescent="0.3">
      <c r="A1385" s="2">
        <v>10.281867458516169</v>
      </c>
      <c r="B1385" s="2">
        <v>23.516606971415591</v>
      </c>
      <c r="C1385" s="2">
        <v>30.867981997502071</v>
      </c>
      <c r="AN1385" s="3">
        <f t="shared" si="66"/>
        <v>3.0819484995703843</v>
      </c>
      <c r="AO1385" s="3">
        <f t="shared" si="67"/>
        <v>0.75800348655773786</v>
      </c>
    </row>
    <row r="1386" spans="1:41" x14ac:dyDescent="0.3">
      <c r="A1386" s="2">
        <v>0.40011373002838763</v>
      </c>
      <c r="B1386" s="2">
        <v>27.314074525309149</v>
      </c>
      <c r="C1386" s="2">
        <v>27.353143795161511</v>
      </c>
      <c r="AN1386" s="3">
        <f t="shared" si="66"/>
        <v>4.1694357911008124</v>
      </c>
      <c r="AO1386" s="3">
        <f t="shared" si="67"/>
        <v>6.9918160926676896</v>
      </c>
    </row>
    <row r="1387" spans="1:41" x14ac:dyDescent="0.3">
      <c r="A1387" s="2">
        <v>4.3092109754388606</v>
      </c>
      <c r="B1387" s="2">
        <v>16.901630112732761</v>
      </c>
      <c r="C1387" s="2">
        <v>38.515902552351157</v>
      </c>
      <c r="AN1387" s="3">
        <f t="shared" si="66"/>
        <v>70.065685071277798</v>
      </c>
      <c r="AO1387" s="3">
        <f t="shared" si="67"/>
        <v>72.565770966220001</v>
      </c>
    </row>
    <row r="1388" spans="1:41" x14ac:dyDescent="0.3">
      <c r="A1388" s="2">
        <v>25.514940861886771</v>
      </c>
      <c r="B1388" s="2">
        <v>32.323943554094107</v>
      </c>
      <c r="C1388" s="2">
        <v>23.201629883087229</v>
      </c>
      <c r="AN1388" s="3">
        <f t="shared" si="66"/>
        <v>49.727723342462426</v>
      </c>
      <c r="AO1388" s="3">
        <f t="shared" si="67"/>
        <v>46.181785279105817</v>
      </c>
    </row>
    <row r="1389" spans="1:41" x14ac:dyDescent="0.3">
      <c r="A1389" s="2">
        <v>5.246469169652352</v>
      </c>
      <c r="B1389" s="2">
        <v>27.703181221076768</v>
      </c>
      <c r="C1389" s="2">
        <v>37.683118180043181</v>
      </c>
      <c r="AN1389" s="3">
        <f t="shared" si="66"/>
        <v>5.9098890152925607</v>
      </c>
      <c r="AO1389" s="3">
        <f t="shared" si="67"/>
        <v>59.071062633238313</v>
      </c>
    </row>
    <row r="1390" spans="1:41" x14ac:dyDescent="0.3">
      <c r="A1390" s="2">
        <v>24.222221477801689</v>
      </c>
      <c r="B1390" s="2">
        <v>30.008548173388231</v>
      </c>
      <c r="C1390" s="2">
        <v>26.3505437456508</v>
      </c>
      <c r="AN1390" s="3">
        <f t="shared" si="66"/>
        <v>22.433421321099914</v>
      </c>
      <c r="AO1390" s="3">
        <f t="shared" si="67"/>
        <v>13.299181567139453</v>
      </c>
    </row>
    <row r="1391" spans="1:41" x14ac:dyDescent="0.3">
      <c r="A1391" s="2">
        <v>48.617449765056243</v>
      </c>
      <c r="B1391" s="2">
        <v>19.739174046317931</v>
      </c>
      <c r="C1391" s="2">
        <v>31.39139993879909</v>
      </c>
      <c r="AN1391" s="3">
        <f t="shared" si="66"/>
        <v>30.613877032703162</v>
      </c>
      <c r="AO1391" s="3">
        <f t="shared" si="67"/>
        <v>1.9433806943069147</v>
      </c>
    </row>
    <row r="1392" spans="1:41" x14ac:dyDescent="0.3">
      <c r="A1392" s="2">
        <v>15.93338274919404</v>
      </c>
      <c r="B1392" s="2">
        <v>28.797154951546041</v>
      </c>
      <c r="C1392" s="2">
        <v>33.588683681749067</v>
      </c>
      <c r="AN1392" s="3">
        <f t="shared" si="66"/>
        <v>12.42562542361034</v>
      </c>
      <c r="AO1392" s="3">
        <f t="shared" si="67"/>
        <v>12.897691685930569</v>
      </c>
    </row>
    <row r="1393" spans="1:41" x14ac:dyDescent="0.3">
      <c r="A1393" s="2">
        <v>11.01296695185501</v>
      </c>
      <c r="B1393" s="2">
        <v>27.749906084672741</v>
      </c>
      <c r="C1393" s="2">
        <v>33.127505485037602</v>
      </c>
      <c r="AN1393" s="3">
        <f t="shared" si="66"/>
        <v>6.1392509754697961</v>
      </c>
      <c r="AO1393" s="3">
        <f t="shared" si="67"/>
        <v>9.7978856256982265</v>
      </c>
    </row>
    <row r="1394" spans="1:41" x14ac:dyDescent="0.3">
      <c r="A1394" s="2">
        <v>5.0736734294962673</v>
      </c>
      <c r="B1394" s="2">
        <v>34.8407834886929</v>
      </c>
      <c r="C1394" s="2">
        <v>29.613686055725889</v>
      </c>
      <c r="AN1394" s="3">
        <f t="shared" si="66"/>
        <v>91.558653231793414</v>
      </c>
      <c r="AO1394" s="3">
        <f t="shared" si="67"/>
        <v>0.1471965187931952</v>
      </c>
    </row>
    <row r="1395" spans="1:41" x14ac:dyDescent="0.3">
      <c r="A1395" s="2">
        <v>10.116019918882049</v>
      </c>
      <c r="B1395" s="2">
        <v>19.5515312142658</v>
      </c>
      <c r="C1395" s="2">
        <v>31.203505913118359</v>
      </c>
      <c r="AN1395" s="3">
        <f t="shared" si="66"/>
        <v>32.725535256068802</v>
      </c>
      <c r="AO1395" s="3">
        <f t="shared" si="67"/>
        <v>1.4548168129486732</v>
      </c>
    </row>
    <row r="1396" spans="1:41" x14ac:dyDescent="0.3">
      <c r="A1396" s="2">
        <v>7.0669997153528383</v>
      </c>
      <c r="B1396" s="2">
        <v>28.082511459402351</v>
      </c>
      <c r="C1396" s="2">
        <v>36.808364179008947</v>
      </c>
      <c r="AN1396" s="3">
        <f t="shared" si="66"/>
        <v>7.8981040389796977</v>
      </c>
      <c r="AO1396" s="3">
        <f t="shared" si="67"/>
        <v>46.389940834903882</v>
      </c>
    </row>
    <row r="1397" spans="1:41" x14ac:dyDescent="0.3">
      <c r="A1397" s="2">
        <v>2.5638097170787622</v>
      </c>
      <c r="B1397" s="2">
        <v>20.488186606121541</v>
      </c>
      <c r="C1397" s="2">
        <v>25.224608611690972</v>
      </c>
      <c r="AN1397" s="3">
        <f t="shared" si="66"/>
        <v>22.886352555119107</v>
      </c>
      <c r="AO1397" s="3">
        <f t="shared" si="67"/>
        <v>22.779041658199194</v>
      </c>
    </row>
    <row r="1398" spans="1:41" x14ac:dyDescent="0.3">
      <c r="A1398" s="2">
        <v>7.1385769561777446</v>
      </c>
      <c r="B1398" s="2">
        <v>28.368275228579201</v>
      </c>
      <c r="C1398" s="2">
        <v>29.405055961795291</v>
      </c>
      <c r="AN1398" s="3">
        <f t="shared" si="66"/>
        <v>9.5859611419264041</v>
      </c>
      <c r="AO1398" s="3">
        <f t="shared" si="67"/>
        <v>0.35080990685509783</v>
      </c>
    </row>
    <row r="1399" spans="1:41" x14ac:dyDescent="0.3">
      <c r="A1399" s="2">
        <v>8.1673479662025485</v>
      </c>
      <c r="B1399" s="2">
        <v>30.276831369951601</v>
      </c>
      <c r="C1399" s="2">
        <v>25.214534115439871</v>
      </c>
      <c r="AN1399" s="3">
        <f t="shared" si="66"/>
        <v>25.046786654372415</v>
      </c>
      <c r="AO1399" s="3">
        <f t="shared" si="67"/>
        <v>22.875309044646038</v>
      </c>
    </row>
    <row r="1400" spans="1:41" x14ac:dyDescent="0.3">
      <c r="A1400" s="2">
        <v>1.3885187520125349E-2</v>
      </c>
      <c r="B1400" s="2">
        <v>14.29618536578616</v>
      </c>
      <c r="C1400" s="2">
        <v>35.277147228823473</v>
      </c>
      <c r="AN1400" s="3">
        <f t="shared" si="66"/>
        <v>120.47190702850915</v>
      </c>
      <c r="AO1400" s="3">
        <f t="shared" si="67"/>
        <v>27.876279465823217</v>
      </c>
    </row>
    <row r="1401" spans="1:41" x14ac:dyDescent="0.3">
      <c r="A1401" s="2">
        <v>26.569702542535602</v>
      </c>
      <c r="B1401" s="2">
        <v>21.608336221511259</v>
      </c>
      <c r="C1401" s="2">
        <v>28.771340248791319</v>
      </c>
      <c r="AN1401" s="3">
        <f t="shared" si="66"/>
        <v>13.423567246261069</v>
      </c>
      <c r="AO1401" s="3">
        <f t="shared" si="67"/>
        <v>1.503095106072994</v>
      </c>
    </row>
    <row r="1402" spans="1:41" x14ac:dyDescent="0.3">
      <c r="A1402" s="2">
        <v>2.3570724754568682</v>
      </c>
      <c r="B1402" s="2">
        <v>16.44335473377236</v>
      </c>
      <c r="C1402" s="2">
        <v>25.790434534810359</v>
      </c>
      <c r="AN1402" s="3">
        <f t="shared" si="66"/>
        <v>77.94771222437592</v>
      </c>
      <c r="AO1402" s="3">
        <f t="shared" si="67"/>
        <v>17.698121246902044</v>
      </c>
    </row>
    <row r="1403" spans="1:41" x14ac:dyDescent="0.3">
      <c r="A1403" s="2">
        <v>4.041971118267643</v>
      </c>
      <c r="B1403" s="2">
        <v>19.675350605709649</v>
      </c>
      <c r="C1403" s="2">
        <v>31.643710468830971</v>
      </c>
      <c r="AN1403" s="3">
        <f t="shared" si="66"/>
        <v>31.324218212987542</v>
      </c>
      <c r="AO1403" s="3">
        <f t="shared" si="67"/>
        <v>2.7105092444226448</v>
      </c>
    </row>
    <row r="1404" spans="1:41" x14ac:dyDescent="0.3">
      <c r="A1404" s="2">
        <v>1.517149885204756</v>
      </c>
      <c r="B1404" s="2">
        <v>22.059034022837519</v>
      </c>
      <c r="C1404" s="2">
        <v>22.96866243739213</v>
      </c>
      <c r="AN1404" s="3">
        <f t="shared" si="66"/>
        <v>10.32414571637387</v>
      </c>
      <c r="AO1404" s="3">
        <f t="shared" si="67"/>
        <v>49.402421311593137</v>
      </c>
    </row>
    <row r="1405" spans="1:41" x14ac:dyDescent="0.3">
      <c r="A1405" s="2">
        <v>15.91980651536962</v>
      </c>
      <c r="B1405" s="2">
        <v>20.05486343544063</v>
      </c>
      <c r="C1405" s="2">
        <v>30.011038219162931</v>
      </c>
      <c r="AN1405" s="3">
        <f t="shared" si="66"/>
        <v>27.220130137047168</v>
      </c>
      <c r="AO1405" s="3">
        <f t="shared" si="67"/>
        <v>1.8742098353077892E-4</v>
      </c>
    </row>
    <row r="1406" spans="1:41" x14ac:dyDescent="0.3">
      <c r="A1406" s="2">
        <v>2.3257136383830228</v>
      </c>
      <c r="B1406" s="2">
        <v>31.16156717407582</v>
      </c>
      <c r="C1406" s="2">
        <v>16.104938334466119</v>
      </c>
      <c r="AN1406" s="3">
        <f t="shared" si="66"/>
        <v>34.685177034632346</v>
      </c>
      <c r="AO1406" s="3">
        <f t="shared" si="67"/>
        <v>192.99904744871904</v>
      </c>
    </row>
    <row r="1407" spans="1:41" x14ac:dyDescent="0.3">
      <c r="A1407" s="2">
        <v>2.0748386077375072</v>
      </c>
      <c r="B1407" s="2">
        <v>21.380951928956492</v>
      </c>
      <c r="C1407" s="2">
        <v>34.619299488399079</v>
      </c>
      <c r="AN1407" s="3">
        <f t="shared" si="66"/>
        <v>15.141460495391943</v>
      </c>
      <c r="AO1407" s="3">
        <f t="shared" si="67"/>
        <v>21.362435183936867</v>
      </c>
    </row>
    <row r="1408" spans="1:41" x14ac:dyDescent="0.3">
      <c r="A1408" s="2">
        <v>14.47303884080185</v>
      </c>
      <c r="B1408" s="2">
        <v>26.473971286224621</v>
      </c>
      <c r="C1408" s="2">
        <v>29.362897178499878</v>
      </c>
      <c r="AN1408" s="3">
        <f t="shared" si="66"/>
        <v>1.44436264672631</v>
      </c>
      <c r="AO1408" s="3">
        <f t="shared" si="67"/>
        <v>0.40252789667698624</v>
      </c>
    </row>
    <row r="1409" spans="1:41" x14ac:dyDescent="0.3">
      <c r="A1409" s="2">
        <v>7.4657074047632754</v>
      </c>
      <c r="B1409" s="2">
        <v>29.665428041602979</v>
      </c>
      <c r="C1409" s="2">
        <v>31.31502680044164</v>
      </c>
      <c r="AN1409" s="3">
        <f t="shared" si="66"/>
        <v>19.300848971771885</v>
      </c>
      <c r="AO1409" s="3">
        <f t="shared" si="67"/>
        <v>1.7362773136032155</v>
      </c>
    </row>
    <row r="1410" spans="1:41" x14ac:dyDescent="0.3">
      <c r="A1410" s="2">
        <v>9.6745531103481817</v>
      </c>
      <c r="B1410" s="2">
        <v>32.417351888473583</v>
      </c>
      <c r="C1410" s="2">
        <v>33.365751827089319</v>
      </c>
      <c r="AN1410" s="3">
        <f t="shared" si="66"/>
        <v>51.053840126139519</v>
      </c>
      <c r="AO1410" s="3">
        <f t="shared" si="67"/>
        <v>11.346144067469012</v>
      </c>
    </row>
    <row r="1411" spans="1:41" x14ac:dyDescent="0.3">
      <c r="A1411" s="2">
        <v>9.6286973355059153</v>
      </c>
      <c r="B1411" s="2">
        <v>30.804705674528659</v>
      </c>
      <c r="C1411" s="2">
        <v>29.253872719723869</v>
      </c>
      <c r="AN1411" s="3">
        <f t="shared" ref="AN1411:AN1474" si="68">(B1411-$AK$2)^2</f>
        <v>30.609118167239512</v>
      </c>
      <c r="AO1411" s="3">
        <f t="shared" ref="AO1411:AO1474" si="69">(C1411-$AK$3)^2</f>
        <v>0.55275555305349566</v>
      </c>
    </row>
    <row r="1412" spans="1:41" x14ac:dyDescent="0.3">
      <c r="A1412" s="2">
        <v>16.876718991296201</v>
      </c>
      <c r="B1412" s="2">
        <v>25.841502450176719</v>
      </c>
      <c r="C1412" s="2">
        <v>29.90983221190724</v>
      </c>
      <c r="AN1412" s="3">
        <f t="shared" si="68"/>
        <v>0.32415664261729327</v>
      </c>
      <c r="AO1412" s="3">
        <f t="shared" si="69"/>
        <v>7.6590203072859474E-3</v>
      </c>
    </row>
    <row r="1413" spans="1:41" x14ac:dyDescent="0.3">
      <c r="A1413" s="2">
        <v>18.659815686150591</v>
      </c>
      <c r="B1413" s="2">
        <v>16.08497506893513</v>
      </c>
      <c r="C1413" s="2">
        <v>28.02305003469391</v>
      </c>
      <c r="AN1413" s="3">
        <f t="shared" si="68"/>
        <v>84.404273091398338</v>
      </c>
      <c r="AO1413" s="3">
        <f t="shared" si="69"/>
        <v>3.8978526169257437</v>
      </c>
    </row>
    <row r="1414" spans="1:41" x14ac:dyDescent="0.3">
      <c r="A1414" s="2">
        <v>17.119971199339339</v>
      </c>
      <c r="B1414" s="2">
        <v>12.49315818797823</v>
      </c>
      <c r="C1414" s="2">
        <v>38.862503585675803</v>
      </c>
      <c r="AN1414" s="3">
        <f t="shared" si="68"/>
        <v>163.30275674758437</v>
      </c>
      <c r="AO1414" s="3">
        <f t="shared" si="69"/>
        <v>78.590982834791646</v>
      </c>
    </row>
    <row r="1415" spans="1:41" x14ac:dyDescent="0.3">
      <c r="A1415" s="2">
        <v>20.44801400387324</v>
      </c>
      <c r="B1415" s="2">
        <v>25.094440402221942</v>
      </c>
      <c r="C1415" s="2">
        <v>29.93451832487558</v>
      </c>
      <c r="AN1415" s="3">
        <f t="shared" si="68"/>
        <v>3.1582439684955048E-2</v>
      </c>
      <c r="AO1415" s="3">
        <f t="shared" si="69"/>
        <v>3.9475732035016888E-3</v>
      </c>
    </row>
    <row r="1416" spans="1:41" x14ac:dyDescent="0.3">
      <c r="A1416" s="2">
        <v>3.5894626845900279</v>
      </c>
      <c r="B1416" s="2">
        <v>19.22553860486596</v>
      </c>
      <c r="C1416" s="2">
        <v>33.742953676415013</v>
      </c>
      <c r="AN1416" s="3">
        <f t="shared" si="68"/>
        <v>36.561568517297864</v>
      </c>
      <c r="AO1416" s="3">
        <f t="shared" si="69"/>
        <v>14.029561577529584</v>
      </c>
    </row>
    <row r="1417" spans="1:41" x14ac:dyDescent="0.3">
      <c r="A1417" s="2">
        <v>11.95206799508118</v>
      </c>
      <c r="B1417" s="2">
        <v>26.37049644872824</v>
      </c>
      <c r="C1417" s="2">
        <v>26.664705347328869</v>
      </c>
      <c r="AN1417" s="3">
        <f t="shared" si="68"/>
        <v>1.2063541764235892</v>
      </c>
      <c r="AO1417" s="3">
        <f t="shared" si="69"/>
        <v>11.106507322365518</v>
      </c>
    </row>
    <row r="1418" spans="1:41" x14ac:dyDescent="0.3">
      <c r="A1418" s="2">
        <v>0.27944929953710029</v>
      </c>
      <c r="B1418" s="2">
        <v>17.688387955937209</v>
      </c>
      <c r="C1418" s="2">
        <v>39.767269193156473</v>
      </c>
      <c r="AN1418" s="3">
        <f t="shared" si="68"/>
        <v>57.513520932320681</v>
      </c>
      <c r="AO1418" s="3">
        <f t="shared" si="69"/>
        <v>95.451359323206717</v>
      </c>
    </row>
    <row r="1419" spans="1:41" x14ac:dyDescent="0.3">
      <c r="A1419" s="2">
        <v>0.44425826726369638</v>
      </c>
      <c r="B1419" s="2">
        <v>20.253353781829279</v>
      </c>
      <c r="C1419" s="2">
        <v>30.413674146895861</v>
      </c>
      <c r="AN1419" s="3">
        <f t="shared" si="68"/>
        <v>25.188364578025219</v>
      </c>
      <c r="AO1419" s="3">
        <f t="shared" si="69"/>
        <v>0.17332742661456796</v>
      </c>
    </row>
    <row r="1420" spans="1:41" x14ac:dyDescent="0.3">
      <c r="A1420" s="2">
        <v>7.6030533741675619</v>
      </c>
      <c r="B1420" s="2">
        <v>19.837978859769599</v>
      </c>
      <c r="C1420" s="2">
        <v>37.478559091068057</v>
      </c>
      <c r="AN1420" s="3">
        <f t="shared" si="68"/>
        <v>29.530269143392655</v>
      </c>
      <c r="AO1420" s="3">
        <f t="shared" si="69"/>
        <v>55.968518778610218</v>
      </c>
    </row>
    <row r="1421" spans="1:41" x14ac:dyDescent="0.3">
      <c r="A1421" s="2">
        <v>3.3699360842505359</v>
      </c>
      <c r="B1421" s="2">
        <v>19.9127328821458</v>
      </c>
      <c r="C1421" s="2">
        <v>20.98033719916663</v>
      </c>
      <c r="AN1421" s="3">
        <f t="shared" si="68"/>
        <v>28.723404273915758</v>
      </c>
      <c r="AO1421" s="3">
        <f t="shared" si="69"/>
        <v>81.306484518185158</v>
      </c>
    </row>
    <row r="1422" spans="1:41" x14ac:dyDescent="0.3">
      <c r="A1422" s="2">
        <v>35.368692083414167</v>
      </c>
      <c r="B1422" s="2">
        <v>16.836000357929539</v>
      </c>
      <c r="C1422" s="2">
        <v>23.63778264672921</v>
      </c>
      <c r="AN1422" s="3">
        <f t="shared" si="68"/>
        <v>71.168703313597589</v>
      </c>
      <c r="AO1422" s="3">
        <f t="shared" si="69"/>
        <v>40.44407200149903</v>
      </c>
    </row>
    <row r="1423" spans="1:41" x14ac:dyDescent="0.3">
      <c r="A1423" s="2">
        <v>24.509535156334941</v>
      </c>
      <c r="B1423" s="2">
        <v>27.578097503301819</v>
      </c>
      <c r="C1423" s="2">
        <v>29.826863748258688</v>
      </c>
      <c r="AN1423" s="3">
        <f t="shared" si="68"/>
        <v>5.3173713291103235</v>
      </c>
      <c r="AO1423" s="3">
        <f t="shared" si="69"/>
        <v>2.9064894004283817E-2</v>
      </c>
    </row>
    <row r="1424" spans="1:41" x14ac:dyDescent="0.3">
      <c r="A1424" s="2">
        <v>58.094273671169468</v>
      </c>
      <c r="B1424" s="2">
        <v>19.821488163301868</v>
      </c>
      <c r="C1424" s="2">
        <v>19.675933043095551</v>
      </c>
      <c r="AN1424" s="3">
        <f t="shared" si="68"/>
        <v>29.709767781444278</v>
      </c>
      <c r="AO1424" s="3">
        <f t="shared" si="69"/>
        <v>106.53160755489719</v>
      </c>
    </row>
    <row r="1425" spans="1:41" x14ac:dyDescent="0.3">
      <c r="A1425" s="2">
        <v>12.315336399211491</v>
      </c>
      <c r="B1425" s="2">
        <v>35.785473526455633</v>
      </c>
      <c r="C1425" s="2">
        <v>26.468109720610091</v>
      </c>
      <c r="AN1425" s="3">
        <f t="shared" si="68"/>
        <v>110.52986872095761</v>
      </c>
      <c r="AO1425" s="3">
        <f t="shared" si="69"/>
        <v>12.455523120717018</v>
      </c>
    </row>
    <row r="1426" spans="1:41" x14ac:dyDescent="0.3">
      <c r="A1426" s="2">
        <v>35.891376404112997</v>
      </c>
      <c r="B1426" s="2">
        <v>35.880472344958349</v>
      </c>
      <c r="C1426" s="2">
        <v>35.798312462025358</v>
      </c>
      <c r="AN1426" s="3">
        <f t="shared" si="68"/>
        <v>112.53639919420898</v>
      </c>
      <c r="AO1426" s="3">
        <f t="shared" si="69"/>
        <v>33.65118821628937</v>
      </c>
    </row>
    <row r="1427" spans="1:41" x14ac:dyDescent="0.3">
      <c r="A1427" s="2">
        <v>2.5455339744088721</v>
      </c>
      <c r="B1427" s="2">
        <v>33.863815486427399</v>
      </c>
      <c r="C1427" s="2">
        <v>33.063437153255528</v>
      </c>
      <c r="AN1427" s="3">
        <f t="shared" si="68"/>
        <v>73.816631779124691</v>
      </c>
      <c r="AO1427" s="3">
        <f t="shared" si="69"/>
        <v>9.4009024455008401</v>
      </c>
    </row>
    <row r="1428" spans="1:41" x14ac:dyDescent="0.3">
      <c r="A1428" s="2">
        <v>9.7765832113150726</v>
      </c>
      <c r="B1428" s="2">
        <v>27.953185979495121</v>
      </c>
      <c r="C1428" s="2">
        <v>28.751350585393801</v>
      </c>
      <c r="AN1428" s="3">
        <f t="shared" si="68"/>
        <v>7.1879276950136344</v>
      </c>
      <c r="AO1428" s="3">
        <f t="shared" si="69"/>
        <v>1.5525096588858276</v>
      </c>
    </row>
    <row r="1429" spans="1:41" x14ac:dyDescent="0.3">
      <c r="A1429" s="2">
        <v>3.0184200593292152</v>
      </c>
      <c r="B1429" s="2">
        <v>19.757390039032689</v>
      </c>
      <c r="C1429" s="2">
        <v>36.430171527276507</v>
      </c>
      <c r="AN1429" s="3">
        <f t="shared" si="68"/>
        <v>30.412631377561759</v>
      </c>
      <c r="AO1429" s="3">
        <f t="shared" si="69"/>
        <v>41.381218008127071</v>
      </c>
    </row>
    <row r="1430" spans="1:41" x14ac:dyDescent="0.3">
      <c r="A1430" s="2">
        <v>6.2594340375156126</v>
      </c>
      <c r="B1430" s="2">
        <v>33.881977750786483</v>
      </c>
      <c r="C1430" s="2">
        <v>32.868329220057241</v>
      </c>
      <c r="AN1430" s="3">
        <f t="shared" si="68"/>
        <v>74.129049668990007</v>
      </c>
      <c r="AO1430" s="3">
        <f t="shared" si="69"/>
        <v>8.2425329316329261</v>
      </c>
    </row>
    <row r="1431" spans="1:41" x14ac:dyDescent="0.3">
      <c r="A1431" s="2">
        <v>10.08549612547173</v>
      </c>
      <c r="B1431" s="2">
        <v>28.361337051771159</v>
      </c>
      <c r="C1431" s="2">
        <v>29.89268033126557</v>
      </c>
      <c r="AN1431" s="3">
        <f t="shared" si="68"/>
        <v>9.543046419588002</v>
      </c>
      <c r="AO1431" s="3">
        <f t="shared" si="69"/>
        <v>1.0955329419780715E-2</v>
      </c>
    </row>
    <row r="1432" spans="1:41" x14ac:dyDescent="0.3">
      <c r="A1432" s="2">
        <v>4.3197258845495066</v>
      </c>
      <c r="B1432" s="2">
        <v>24.44985654020519</v>
      </c>
      <c r="C1432" s="2">
        <v>30.883967371991641</v>
      </c>
      <c r="AN1432" s="3">
        <f t="shared" si="68"/>
        <v>0.67617457847550555</v>
      </c>
      <c r="AO1432" s="3">
        <f t="shared" si="69"/>
        <v>0.7860938384376569</v>
      </c>
    </row>
    <row r="1433" spans="1:41" x14ac:dyDescent="0.3">
      <c r="A1433" s="2">
        <v>15.10324634976881</v>
      </c>
      <c r="B1433" s="2">
        <v>18.20042183986892</v>
      </c>
      <c r="C1433" s="2">
        <v>35.84262945171929</v>
      </c>
      <c r="AN1433" s="3">
        <f t="shared" si="68"/>
        <v>50.009408352958175</v>
      </c>
      <c r="AO1433" s="3">
        <f t="shared" si="69"/>
        <v>34.16731477280527</v>
      </c>
    </row>
    <row r="1434" spans="1:41" x14ac:dyDescent="0.3">
      <c r="A1434" s="2">
        <v>1.5574736099454101</v>
      </c>
      <c r="B1434" s="2">
        <v>25.080047214983409</v>
      </c>
      <c r="C1434" s="2">
        <v>27.77979904436415</v>
      </c>
      <c r="AN1434" s="3">
        <f t="shared" si="68"/>
        <v>3.6905359361030225E-2</v>
      </c>
      <c r="AO1434" s="3">
        <f t="shared" si="69"/>
        <v>4.9175235516062905</v>
      </c>
    </row>
    <row r="1435" spans="1:41" x14ac:dyDescent="0.3">
      <c r="A1435" s="2">
        <v>1.424003911285213</v>
      </c>
      <c r="B1435" s="2">
        <v>18.281750419512949</v>
      </c>
      <c r="C1435" s="2">
        <v>35.306599403786578</v>
      </c>
      <c r="AN1435" s="3">
        <f t="shared" si="68"/>
        <v>48.865754681409889</v>
      </c>
      <c r="AO1435" s="3">
        <f t="shared" si="69"/>
        <v>28.188150035344556</v>
      </c>
    </row>
    <row r="1436" spans="1:41" x14ac:dyDescent="0.3">
      <c r="A1436" s="2">
        <v>5.3100477467196354</v>
      </c>
      <c r="B1436" s="2">
        <v>25.047403414229791</v>
      </c>
      <c r="C1436" s="2">
        <v>26.377893831867031</v>
      </c>
      <c r="AN1436" s="3">
        <f t="shared" si="68"/>
        <v>5.0513226516922236E-2</v>
      </c>
      <c r="AO1436" s="3">
        <f t="shared" si="69"/>
        <v>13.100448770583229</v>
      </c>
    </row>
    <row r="1437" spans="1:41" x14ac:dyDescent="0.3">
      <c r="A1437" s="2">
        <v>8.3907443890723972</v>
      </c>
      <c r="B1437" s="2">
        <v>24.32188835268197</v>
      </c>
      <c r="C1437" s="2">
        <v>28.384183003607159</v>
      </c>
      <c r="AN1437" s="3">
        <f t="shared" si="68"/>
        <v>0.90300649472016659</v>
      </c>
      <c r="AO1437" s="3">
        <f t="shared" si="69"/>
        <v>2.6023014372305791</v>
      </c>
    </row>
    <row r="1438" spans="1:41" x14ac:dyDescent="0.3">
      <c r="A1438" s="2">
        <v>16.477291987813949</v>
      </c>
      <c r="B1438" s="2">
        <v>17.253248669736649</v>
      </c>
      <c r="C1438" s="2">
        <v>27.630245166597749</v>
      </c>
      <c r="AN1438" s="3">
        <f t="shared" si="68"/>
        <v>64.302856992784939</v>
      </c>
      <c r="AO1438" s="3">
        <f t="shared" si="69"/>
        <v>5.603176017070056</v>
      </c>
    </row>
    <row r="1439" spans="1:41" x14ac:dyDescent="0.3">
      <c r="A1439" s="2">
        <v>30.659351361885509</v>
      </c>
      <c r="B1439" s="2">
        <v>28.152014716844491</v>
      </c>
      <c r="C1439" s="2">
        <v>21.44482727196214</v>
      </c>
      <c r="AN1439" s="3">
        <f t="shared" si="68"/>
        <v>8.2935926138666503</v>
      </c>
      <c r="AO1439" s="3">
        <f t="shared" si="69"/>
        <v>73.145611501451711</v>
      </c>
    </row>
    <row r="1440" spans="1:41" x14ac:dyDescent="0.3">
      <c r="A1440" s="2">
        <v>14.032530189747741</v>
      </c>
      <c r="B1440" s="2">
        <v>33.101685912258183</v>
      </c>
      <c r="C1440" s="2">
        <v>31.572713491796289</v>
      </c>
      <c r="AN1440" s="3">
        <f t="shared" si="68"/>
        <v>61.301556005649367</v>
      </c>
      <c r="AO1440" s="3">
        <f t="shared" si="69"/>
        <v>2.4817763041837577</v>
      </c>
    </row>
    <row r="1441" spans="1:41" x14ac:dyDescent="0.3">
      <c r="A1441" s="2">
        <v>4.1111200979011411</v>
      </c>
      <c r="B1441" s="2">
        <v>27.512062073351771</v>
      </c>
      <c r="C1441" s="2">
        <v>35.095637702809213</v>
      </c>
      <c r="AN1441" s="3">
        <f t="shared" si="68"/>
        <v>5.0171841834927173</v>
      </c>
      <c r="AO1441" s="3">
        <f t="shared" si="69"/>
        <v>25.992557477720943</v>
      </c>
    </row>
    <row r="1442" spans="1:41" x14ac:dyDescent="0.3">
      <c r="A1442" s="2">
        <v>0.50321317054106263</v>
      </c>
      <c r="B1442" s="2">
        <v>24.82147860675444</v>
      </c>
      <c r="C1442" s="2">
        <v>35.345858047326473</v>
      </c>
      <c r="AN1442" s="3">
        <f t="shared" si="68"/>
        <v>0.20310911359552833</v>
      </c>
      <c r="AO1442" s="3">
        <f t="shared" si="69"/>
        <v>28.606559289883311</v>
      </c>
    </row>
    <row r="1443" spans="1:41" x14ac:dyDescent="0.3">
      <c r="A1443" s="2">
        <v>0.27119810896151569</v>
      </c>
      <c r="B1443" s="2">
        <v>21.913038778776659</v>
      </c>
      <c r="C1443" s="2">
        <v>33.13892084304269</v>
      </c>
      <c r="AN1443" s="3">
        <f t="shared" si="68"/>
        <v>11.283661058485267</v>
      </c>
      <c r="AO1443" s="3">
        <f t="shared" si="69"/>
        <v>9.8694796717730746</v>
      </c>
    </row>
    <row r="1444" spans="1:41" x14ac:dyDescent="0.3">
      <c r="A1444" s="2">
        <v>5.2079611437767204</v>
      </c>
      <c r="B1444" s="2">
        <v>27.961078085369952</v>
      </c>
      <c r="C1444" s="2">
        <v>29.68220749398758</v>
      </c>
      <c r="AN1444" s="3">
        <f t="shared" si="68"/>
        <v>7.2303079427497536</v>
      </c>
      <c r="AO1444" s="3">
        <f t="shared" si="69"/>
        <v>9.931356424702846E-2</v>
      </c>
    </row>
    <row r="1445" spans="1:41" x14ac:dyDescent="0.3">
      <c r="A1445" s="2">
        <v>0.36066367120186182</v>
      </c>
      <c r="B1445" s="2">
        <v>29.49780237781566</v>
      </c>
      <c r="C1445" s="2">
        <v>22.829881084470578</v>
      </c>
      <c r="AN1445" s="3">
        <f t="shared" si="68"/>
        <v>17.856096678948397</v>
      </c>
      <c r="AO1445" s="3">
        <f t="shared" si="69"/>
        <v>51.372582570115021</v>
      </c>
    </row>
    <row r="1446" spans="1:41" x14ac:dyDescent="0.3">
      <c r="A1446" s="2">
        <v>13.676277450370961</v>
      </c>
      <c r="B1446" s="2">
        <v>22.12308231736591</v>
      </c>
      <c r="C1446" s="2">
        <v>32.563067409605928</v>
      </c>
      <c r="AN1446" s="3">
        <f t="shared" si="68"/>
        <v>9.9166580769082326</v>
      </c>
      <c r="AO1446" s="3">
        <f t="shared" si="69"/>
        <v>6.5829158794512574</v>
      </c>
    </row>
    <row r="1447" spans="1:41" x14ac:dyDescent="0.3">
      <c r="A1447" s="2">
        <v>3.1075460826473029</v>
      </c>
      <c r="B1447" s="2">
        <v>28.472111525649161</v>
      </c>
      <c r="C1447" s="2">
        <v>33.396353112565791</v>
      </c>
      <c r="AN1447" s="3">
        <f t="shared" si="68"/>
        <v>10.23972246069463</v>
      </c>
      <c r="AO1447" s="3">
        <f t="shared" si="69"/>
        <v>11.553235477870185</v>
      </c>
    </row>
    <row r="1448" spans="1:41" x14ac:dyDescent="0.3">
      <c r="A1448" s="2">
        <v>3.659292036377356</v>
      </c>
      <c r="B1448" s="2">
        <v>33.299164790376487</v>
      </c>
      <c r="C1448" s="2">
        <v>28.358829858821341</v>
      </c>
      <c r="AN1448" s="3">
        <f t="shared" si="68"/>
        <v>64.432887917311803</v>
      </c>
      <c r="AO1448" s="3">
        <f t="shared" si="69"/>
        <v>2.6847418326839936</v>
      </c>
    </row>
    <row r="1449" spans="1:41" x14ac:dyDescent="0.3">
      <c r="A1449" s="2">
        <v>6.4733933967404962</v>
      </c>
      <c r="B1449" s="2">
        <v>32.098814032317442</v>
      </c>
      <c r="C1449" s="2">
        <v>25.893597512426979</v>
      </c>
      <c r="AN1449" s="3">
        <f t="shared" si="68"/>
        <v>46.603275025459723</v>
      </c>
      <c r="AO1449" s="3">
        <f t="shared" si="69"/>
        <v>16.840768399145254</v>
      </c>
    </row>
    <row r="1450" spans="1:41" x14ac:dyDescent="0.3">
      <c r="A1450" s="2">
        <v>8.4454136223046667</v>
      </c>
      <c r="B1450" s="2">
        <v>23.728677725843809</v>
      </c>
      <c r="C1450" s="2">
        <v>32.75632680982195</v>
      </c>
      <c r="AN1450" s="3">
        <f t="shared" si="68"/>
        <v>2.3823217607769491</v>
      </c>
      <c r="AO1450" s="3">
        <f t="shared" si="69"/>
        <v>7.6119638478981377</v>
      </c>
    </row>
    <row r="1451" spans="1:41" x14ac:dyDescent="0.3">
      <c r="A1451" s="2">
        <v>34.210793990454171</v>
      </c>
      <c r="B1451" s="2">
        <v>21.349660911126961</v>
      </c>
      <c r="C1451" s="2">
        <v>29.64122372752454</v>
      </c>
      <c r="AN1451" s="3">
        <f t="shared" si="68"/>
        <v>15.385959025744761</v>
      </c>
      <c r="AO1451" s="3">
        <f t="shared" si="69"/>
        <v>0.12682452650794873</v>
      </c>
    </row>
    <row r="1452" spans="1:41" x14ac:dyDescent="0.3">
      <c r="A1452" s="2">
        <v>19.84583683159028</v>
      </c>
      <c r="B1452" s="2">
        <v>30.434247349150429</v>
      </c>
      <c r="C1452" s="2">
        <v>25.476806441950291</v>
      </c>
      <c r="AN1452" s="3">
        <f t="shared" si="68"/>
        <v>26.647198541749898</v>
      </c>
      <c r="AO1452" s="3">
        <f t="shared" si="69"/>
        <v>20.435296346956459</v>
      </c>
    </row>
    <row r="1453" spans="1:41" x14ac:dyDescent="0.3">
      <c r="A1453" s="2">
        <v>6.2892291320046896</v>
      </c>
      <c r="B1453" s="2">
        <v>14.991562073396301</v>
      </c>
      <c r="C1453" s="2">
        <v>29.119777275090019</v>
      </c>
      <c r="AN1453" s="3">
        <f t="shared" si="68"/>
        <v>105.69058869081199</v>
      </c>
      <c r="AO1453" s="3">
        <f t="shared" si="69"/>
        <v>0.77013044883380666</v>
      </c>
    </row>
    <row r="1454" spans="1:41" x14ac:dyDescent="0.3">
      <c r="A1454" s="2">
        <v>15.87889068791783</v>
      </c>
      <c r="B1454" s="2">
        <v>21.186608047609131</v>
      </c>
      <c r="C1454" s="2">
        <v>22.03856163608911</v>
      </c>
      <c r="AN1454" s="3">
        <f t="shared" si="68"/>
        <v>16.691693013295456</v>
      </c>
      <c r="AO1454" s="3">
        <f t="shared" si="69"/>
        <v>63.342281035856281</v>
      </c>
    </row>
    <row r="1455" spans="1:41" x14ac:dyDescent="0.3">
      <c r="A1455" s="2">
        <v>1.086163528684909</v>
      </c>
      <c r="B1455" s="2">
        <v>20.041651448163989</v>
      </c>
      <c r="C1455" s="2">
        <v>28.582012919069371</v>
      </c>
      <c r="AN1455" s="3">
        <f t="shared" si="68"/>
        <v>27.358166270325864</v>
      </c>
      <c r="AO1455" s="3">
        <f t="shared" si="69"/>
        <v>2.0031735068123271</v>
      </c>
    </row>
    <row r="1456" spans="1:41" x14ac:dyDescent="0.3">
      <c r="A1456" s="2">
        <v>2.1699766352991872</v>
      </c>
      <c r="B1456" s="2">
        <v>24.929244708464658</v>
      </c>
      <c r="C1456" s="2">
        <v>34.54043503478519</v>
      </c>
      <c r="AN1456" s="3">
        <f t="shared" si="68"/>
        <v>0.11758739360153425</v>
      </c>
      <c r="AO1456" s="3">
        <f t="shared" si="69"/>
        <v>20.639639434891485</v>
      </c>
    </row>
    <row r="1457" spans="1:41" x14ac:dyDescent="0.3">
      <c r="A1457" s="2">
        <v>0.38227138557077439</v>
      </c>
      <c r="B1457" s="2">
        <v>28.984123314072072</v>
      </c>
      <c r="C1457" s="2">
        <v>23.262023468323481</v>
      </c>
      <c r="AN1457" s="3">
        <f t="shared" si="68"/>
        <v>13.778709570473099</v>
      </c>
      <c r="AO1457" s="3">
        <f t="shared" si="69"/>
        <v>45.364597096644417</v>
      </c>
    </row>
    <row r="1458" spans="1:41" x14ac:dyDescent="0.3">
      <c r="A1458" s="2">
        <v>1.746587069061647</v>
      </c>
      <c r="B1458" s="2">
        <v>26.662503785558911</v>
      </c>
      <c r="C1458" s="2">
        <v>20.020341039096561</v>
      </c>
      <c r="AN1458" s="3">
        <f t="shared" si="68"/>
        <v>1.9330700473235438</v>
      </c>
      <c r="AO1458" s="3">
        <f t="shared" si="69"/>
        <v>99.540668712096348</v>
      </c>
    </row>
    <row r="1459" spans="1:41" x14ac:dyDescent="0.3">
      <c r="A1459" s="2">
        <v>8.0760082538337024</v>
      </c>
      <c r="B1459" s="2">
        <v>21.59790966652551</v>
      </c>
      <c r="C1459" s="2">
        <v>27.640515813395531</v>
      </c>
      <c r="AN1459" s="3">
        <f t="shared" si="68"/>
        <v>13.500077972949995</v>
      </c>
      <c r="AO1459" s="3">
        <f t="shared" si="69"/>
        <v>5.5546581481457507</v>
      </c>
    </row>
    <row r="1460" spans="1:41" x14ac:dyDescent="0.3">
      <c r="A1460" s="2">
        <v>11.190647313555701</v>
      </c>
      <c r="B1460" s="2">
        <v>24.132317107757149</v>
      </c>
      <c r="C1460" s="2">
        <v>22.645207923755802</v>
      </c>
      <c r="AN1460" s="3">
        <f t="shared" si="68"/>
        <v>1.2992301731554146</v>
      </c>
      <c r="AO1460" s="3">
        <f t="shared" si="69"/>
        <v>54.053964300692606</v>
      </c>
    </row>
    <row r="1461" spans="1:41" x14ac:dyDescent="0.3">
      <c r="A1461" s="2">
        <v>4.6789266197843444</v>
      </c>
      <c r="B1461" s="2">
        <v>25.068883725777741</v>
      </c>
      <c r="C1461" s="2">
        <v>26.80767128636727</v>
      </c>
      <c r="AN1461" s="3">
        <f t="shared" si="68"/>
        <v>4.1319166797608102E-2</v>
      </c>
      <c r="AO1461" s="3">
        <f t="shared" si="69"/>
        <v>10.174037797786703</v>
      </c>
    </row>
    <row r="1462" spans="1:41" x14ac:dyDescent="0.3">
      <c r="A1462" s="2">
        <v>27.21715046631088</v>
      </c>
      <c r="B1462" s="2">
        <v>19.08365577700053</v>
      </c>
      <c r="C1462" s="2">
        <v>29.227061978547631</v>
      </c>
      <c r="AN1462" s="3">
        <f t="shared" si="68"/>
        <v>38.297521289659066</v>
      </c>
      <c r="AO1462" s="3">
        <f t="shared" si="69"/>
        <v>0.59334061770465285</v>
      </c>
    </row>
    <row r="1463" spans="1:41" x14ac:dyDescent="0.3">
      <c r="A1463" s="2">
        <v>4.7271031042590206</v>
      </c>
      <c r="B1463" s="2">
        <v>25.685995454612971</v>
      </c>
      <c r="C1463" s="2">
        <v>35.089755914278413</v>
      </c>
      <c r="AN1463" s="3">
        <f t="shared" si="68"/>
        <v>0.17126401171120845</v>
      </c>
      <c r="AO1463" s="3">
        <f t="shared" si="69"/>
        <v>25.932617949835894</v>
      </c>
    </row>
    <row r="1464" spans="1:41" x14ac:dyDescent="0.3">
      <c r="A1464" s="2">
        <v>7.5719511223583673</v>
      </c>
      <c r="B1464" s="2">
        <v>27.643661168193209</v>
      </c>
      <c r="C1464" s="2">
        <v>19.208755735343651</v>
      </c>
      <c r="AN1464" s="3">
        <f t="shared" si="68"/>
        <v>5.6240420205875266</v>
      </c>
      <c r="AO1464" s="3">
        <f t="shared" si="69"/>
        <v>116.39372393341347</v>
      </c>
    </row>
    <row r="1465" spans="1:41" x14ac:dyDescent="0.3">
      <c r="A1465" s="2">
        <v>1.4421112220483021</v>
      </c>
      <c r="B1465" s="2">
        <v>30.359617852604661</v>
      </c>
      <c r="C1465" s="2">
        <v>24.850001852097009</v>
      </c>
      <c r="AN1465" s="3">
        <f t="shared" si="68"/>
        <v>25.882279381024208</v>
      </c>
      <c r="AO1465" s="3">
        <f t="shared" si="69"/>
        <v>26.495172786384565</v>
      </c>
    </row>
    <row r="1466" spans="1:41" x14ac:dyDescent="0.3">
      <c r="A1466" s="2">
        <v>4.4758431756156973</v>
      </c>
      <c r="B1466" s="2">
        <v>35.017265715200033</v>
      </c>
      <c r="C1466" s="2">
        <v>24.59478430650876</v>
      </c>
      <c r="AN1466" s="3">
        <f t="shared" si="68"/>
        <v>94.967184966985499</v>
      </c>
      <c r="AO1466" s="3">
        <f t="shared" si="69"/>
        <v>29.187694903109715</v>
      </c>
    </row>
    <row r="1467" spans="1:41" x14ac:dyDescent="0.3">
      <c r="A1467" s="2">
        <v>4.449240030024078</v>
      </c>
      <c r="B1467" s="2">
        <v>28.830141591919439</v>
      </c>
      <c r="C1467" s="2">
        <v>36.301718713805982</v>
      </c>
      <c r="AN1467" s="3">
        <f t="shared" si="68"/>
        <v>12.659269360650029</v>
      </c>
      <c r="AO1467" s="3">
        <f t="shared" si="69"/>
        <v>39.745089582621951</v>
      </c>
    </row>
    <row r="1468" spans="1:41" x14ac:dyDescent="0.3">
      <c r="A1468" s="2">
        <v>6.52727871088016</v>
      </c>
      <c r="B1468" s="2">
        <v>41.793125747235052</v>
      </c>
      <c r="C1468" s="2">
        <v>42.296635501101441</v>
      </c>
      <c r="AN1468" s="3">
        <f t="shared" si="68"/>
        <v>272.94247801738624</v>
      </c>
      <c r="AO1468" s="3">
        <f t="shared" si="69"/>
        <v>151.27247203105813</v>
      </c>
    </row>
    <row r="1469" spans="1:41" x14ac:dyDescent="0.3">
      <c r="A1469" s="2">
        <v>4.0711267242675806</v>
      </c>
      <c r="B1469" s="2">
        <v>23.433726667060949</v>
      </c>
      <c r="C1469" s="2">
        <v>20.42482047484328</v>
      </c>
      <c r="AN1469" s="3">
        <f t="shared" si="68"/>
        <v>3.3798183362650938</v>
      </c>
      <c r="AO1469" s="3">
        <f t="shared" si="69"/>
        <v>91.633284001055884</v>
      </c>
    </row>
    <row r="1470" spans="1:41" x14ac:dyDescent="0.3">
      <c r="A1470" s="2">
        <v>18.007263485356361</v>
      </c>
      <c r="B1470" s="2">
        <v>21.120376732110881</v>
      </c>
      <c r="C1470" s="2">
        <v>38.36367930405784</v>
      </c>
      <c r="AN1470" s="3">
        <f t="shared" si="68"/>
        <v>17.237261884443949</v>
      </c>
      <c r="AO1470" s="3">
        <f t="shared" si="69"/>
        <v>69.995498806517801</v>
      </c>
    </row>
    <row r="1471" spans="1:41" x14ac:dyDescent="0.3">
      <c r="A1471" s="2">
        <v>10.097920250286849</v>
      </c>
      <c r="B1471" s="2">
        <v>28.10632191227328</v>
      </c>
      <c r="C1471" s="2">
        <v>27.834317533219171</v>
      </c>
      <c r="AN1471" s="3">
        <f t="shared" si="68"/>
        <v>8.0325027018686388</v>
      </c>
      <c r="AO1471" s="3">
        <f t="shared" si="69"/>
        <v>4.6787009767377157</v>
      </c>
    </row>
    <row r="1472" spans="1:41" x14ac:dyDescent="0.3">
      <c r="A1472" s="2">
        <v>10.423586522557081</v>
      </c>
      <c r="B1472" s="2">
        <v>18.427259245720268</v>
      </c>
      <c r="C1472" s="2">
        <v>35.97361665962854</v>
      </c>
      <c r="AN1472" s="3">
        <f t="shared" si="68"/>
        <v>46.852596401059458</v>
      </c>
      <c r="AO1472" s="3">
        <f t="shared" si="69"/>
        <v>35.715786604360702</v>
      </c>
    </row>
    <row r="1473" spans="1:41" x14ac:dyDescent="0.3">
      <c r="A1473" s="2">
        <v>23.18073489783113</v>
      </c>
      <c r="B1473" s="2">
        <v>28.534792955135199</v>
      </c>
      <c r="C1473" s="2">
        <v>22.983253645548668</v>
      </c>
      <c r="AN1473" s="3">
        <f t="shared" si="68"/>
        <v>10.644807134545719</v>
      </c>
      <c r="AO1473" s="3">
        <f t="shared" si="69"/>
        <v>49.197520185536149</v>
      </c>
    </row>
    <row r="1474" spans="1:41" x14ac:dyDescent="0.3">
      <c r="A1474" s="2">
        <v>2.4936418733175261</v>
      </c>
      <c r="B1474" s="2">
        <v>13.51315636442971</v>
      </c>
      <c r="C1474" s="2">
        <v>25.21808743498401</v>
      </c>
      <c r="AN1474" s="3">
        <f t="shared" si="68"/>
        <v>138.27404635868803</v>
      </c>
      <c r="AO1474" s="3">
        <f t="shared" si="69"/>
        <v>22.841331938331876</v>
      </c>
    </row>
    <row r="1475" spans="1:41" x14ac:dyDescent="0.3">
      <c r="A1475" s="2">
        <v>4.4423666188158109</v>
      </c>
      <c r="B1475" s="2">
        <v>20.399764849325781</v>
      </c>
      <c r="C1475" s="2">
        <v>27.887180552880121</v>
      </c>
      <c r="AN1475" s="3">
        <f t="shared" ref="AN1475:AN1538" si="70">(B1475-$AK$2)^2</f>
        <v>23.740184722683519</v>
      </c>
      <c r="AO1475" s="3">
        <f t="shared" ref="AO1475:AO1538" si="71">(C1475-$AK$3)^2</f>
        <v>4.4528068270861265</v>
      </c>
    </row>
    <row r="1476" spans="1:41" x14ac:dyDescent="0.3">
      <c r="A1476" s="2">
        <v>8.7764931782317372</v>
      </c>
      <c r="B1476" s="2">
        <v>27.215890870665142</v>
      </c>
      <c r="C1476" s="2">
        <v>29.963246570026669</v>
      </c>
      <c r="AN1476" s="3">
        <f t="shared" si="70"/>
        <v>3.7781095568586371</v>
      </c>
      <c r="AO1476" s="3">
        <f t="shared" si="71"/>
        <v>1.1629103090988085E-3</v>
      </c>
    </row>
    <row r="1477" spans="1:41" x14ac:dyDescent="0.3">
      <c r="A1477" s="2">
        <v>5.6235022592829722</v>
      </c>
      <c r="B1477" s="2">
        <v>26.851918595459981</v>
      </c>
      <c r="C1477" s="2">
        <v>24.579472243641082</v>
      </c>
      <c r="AN1477" s="3">
        <f t="shared" si="70"/>
        <v>2.4956533604774198</v>
      </c>
      <c r="AO1477" s="3">
        <f t="shared" si="71"/>
        <v>29.353378153471283</v>
      </c>
    </row>
    <row r="1478" spans="1:41" x14ac:dyDescent="0.3">
      <c r="A1478" s="2">
        <v>27.737877425334538</v>
      </c>
      <c r="B1478" s="2">
        <v>23.811558620957431</v>
      </c>
      <c r="C1478" s="2">
        <v>30.09801612747566</v>
      </c>
      <c r="AN1478" s="3">
        <f t="shared" si="70"/>
        <v>2.1333414654044609</v>
      </c>
      <c r="AO1478" s="3">
        <f t="shared" si="71"/>
        <v>1.0134063674364032E-2</v>
      </c>
    </row>
    <row r="1479" spans="1:41" x14ac:dyDescent="0.3">
      <c r="A1479" s="2">
        <v>1.959631267314502</v>
      </c>
      <c r="B1479" s="2">
        <v>27.361255142944181</v>
      </c>
      <c r="C1479" s="2">
        <v>27.093340154431889</v>
      </c>
      <c r="AN1479" s="3">
        <f t="shared" si="70"/>
        <v>4.3643398607534882</v>
      </c>
      <c r="AO1479" s="3">
        <f t="shared" si="71"/>
        <v>8.4332618041047454</v>
      </c>
    </row>
    <row r="1480" spans="1:41" x14ac:dyDescent="0.3">
      <c r="A1480" s="2">
        <v>6.0034795469912456</v>
      </c>
      <c r="B1480" s="2">
        <v>16.057676700948399</v>
      </c>
      <c r="C1480" s="2">
        <v>27.188888469618838</v>
      </c>
      <c r="AN1480" s="3">
        <f t="shared" si="70"/>
        <v>84.906608323404157</v>
      </c>
      <c r="AO1480" s="3">
        <f t="shared" si="71"/>
        <v>7.8874451629750899</v>
      </c>
    </row>
    <row r="1481" spans="1:41" x14ac:dyDescent="0.3">
      <c r="A1481" s="2">
        <v>33.327599185105427</v>
      </c>
      <c r="B1481" s="2">
        <v>25.45886921069355</v>
      </c>
      <c r="C1481" s="2">
        <v>33.255691439396678</v>
      </c>
      <c r="AN1481" s="3">
        <f t="shared" si="70"/>
        <v>3.4862237007046389E-2</v>
      </c>
      <c r="AO1481" s="3">
        <f t="shared" si="71"/>
        <v>10.616801703159966</v>
      </c>
    </row>
    <row r="1482" spans="1:41" x14ac:dyDescent="0.3">
      <c r="A1482" s="2">
        <v>9.8885852355274757</v>
      </c>
      <c r="B1482" s="2">
        <v>18.94264631568349</v>
      </c>
      <c r="C1482" s="2">
        <v>32.923406858548702</v>
      </c>
      <c r="AN1482" s="3">
        <f t="shared" si="70"/>
        <v>40.062678810821659</v>
      </c>
      <c r="AO1482" s="3">
        <f t="shared" si="71"/>
        <v>8.5618202049082459</v>
      </c>
    </row>
    <row r="1483" spans="1:41" x14ac:dyDescent="0.3">
      <c r="A1483" s="2">
        <v>21.630648813580041</v>
      </c>
      <c r="B1483" s="2">
        <v>28.64760178712697</v>
      </c>
      <c r="C1483" s="2">
        <v>20.28211082779745</v>
      </c>
      <c r="AN1483" s="3">
        <f t="shared" si="70"/>
        <v>11.393641745471371</v>
      </c>
      <c r="AO1483" s="3">
        <f t="shared" si="71"/>
        <v>94.385834104964971</v>
      </c>
    </row>
    <row r="1484" spans="1:41" x14ac:dyDescent="0.3">
      <c r="A1484" s="2">
        <v>29.06489363006245</v>
      </c>
      <c r="B1484" s="2">
        <v>21.318383765002881</v>
      </c>
      <c r="C1484" s="2">
        <v>25.339933491571781</v>
      </c>
      <c r="AN1484" s="3">
        <f t="shared" si="70"/>
        <v>15.63230612040179</v>
      </c>
      <c r="AO1484" s="3">
        <f t="shared" si="71"/>
        <v>21.691510283389256</v>
      </c>
    </row>
    <row r="1485" spans="1:41" x14ac:dyDescent="0.3">
      <c r="A1485" s="2">
        <v>30.71709798573108</v>
      </c>
      <c r="B1485" s="2">
        <v>27.83458375148804</v>
      </c>
      <c r="C1485" s="2">
        <v>29.22317242727928</v>
      </c>
      <c r="AN1485" s="3">
        <f t="shared" si="70"/>
        <v>6.5660416627073248</v>
      </c>
      <c r="AO1485" s="3">
        <f t="shared" si="71"/>
        <v>0.59934788057459776</v>
      </c>
    </row>
    <row r="1486" spans="1:41" x14ac:dyDescent="0.3">
      <c r="A1486" s="2">
        <v>12.347210271846039</v>
      </c>
      <c r="B1486" s="2">
        <v>27.137242975302229</v>
      </c>
      <c r="C1486" s="2">
        <v>30.490769751943759</v>
      </c>
      <c r="AN1486" s="3">
        <f t="shared" si="70"/>
        <v>3.4785535604922595</v>
      </c>
      <c r="AO1486" s="3">
        <f t="shared" si="71"/>
        <v>0.24346498502522126</v>
      </c>
    </row>
    <row r="1487" spans="1:41" x14ac:dyDescent="0.3">
      <c r="A1487" s="2">
        <v>4.9651101692598871</v>
      </c>
      <c r="B1487" s="2">
        <v>23.36171295336554</v>
      </c>
      <c r="C1487" s="2">
        <v>28.670599521501789</v>
      </c>
      <c r="AN1487" s="3">
        <f t="shared" si="70"/>
        <v>3.6497883988280853</v>
      </c>
      <c r="AO1487" s="3">
        <f t="shared" si="71"/>
        <v>1.7602616334675627</v>
      </c>
    </row>
    <row r="1488" spans="1:41" x14ac:dyDescent="0.3">
      <c r="A1488" s="2">
        <v>1.150102853954472</v>
      </c>
      <c r="B1488" s="2">
        <v>25.293983889174999</v>
      </c>
      <c r="C1488" s="2">
        <v>33.839106784685228</v>
      </c>
      <c r="AN1488" s="3">
        <f t="shared" si="70"/>
        <v>4.7650514126464967E-4</v>
      </c>
      <c r="AO1488" s="3">
        <f t="shared" si="71"/>
        <v>14.759110246196697</v>
      </c>
    </row>
    <row r="1489" spans="1:41" x14ac:dyDescent="0.3">
      <c r="A1489" s="2">
        <v>4.3700083734577007</v>
      </c>
      <c r="B1489" s="2">
        <v>29.221222382198199</v>
      </c>
      <c r="C1489" s="2">
        <v>33.508450360121131</v>
      </c>
      <c r="AN1489" s="3">
        <f t="shared" si="70"/>
        <v>15.595134046409497</v>
      </c>
      <c r="AO1489" s="3">
        <f t="shared" si="71"/>
        <v>12.327839496722202</v>
      </c>
    </row>
    <row r="1490" spans="1:41" x14ac:dyDescent="0.3">
      <c r="A1490" s="2">
        <v>43.983156358597753</v>
      </c>
      <c r="B1490" s="2">
        <v>33.27047299305184</v>
      </c>
      <c r="C1490" s="2">
        <v>32.567913173361077</v>
      </c>
      <c r="AN1490" s="3">
        <f t="shared" si="70"/>
        <v>63.97309245426019</v>
      </c>
      <c r="AO1490" s="3">
        <f t="shared" si="71"/>
        <v>6.6078051007240894</v>
      </c>
    </row>
    <row r="1491" spans="1:41" x14ac:dyDescent="0.3">
      <c r="A1491" s="2">
        <v>3.654404095485098</v>
      </c>
      <c r="B1491" s="2">
        <v>25.607265177050859</v>
      </c>
      <c r="C1491" s="2">
        <v>19.394783990163091</v>
      </c>
      <c r="AN1491" s="3">
        <f t="shared" si="70"/>
        <v>0.11229890350914348</v>
      </c>
      <c r="AO1491" s="3">
        <f t="shared" si="71"/>
        <v>112.4143644479186</v>
      </c>
    </row>
    <row r="1492" spans="1:41" x14ac:dyDescent="0.3">
      <c r="A1492" s="2">
        <v>0.74114753847289228</v>
      </c>
      <c r="B1492" s="2">
        <v>25.4367500629928</v>
      </c>
      <c r="C1492" s="2">
        <v>34.763440416086723</v>
      </c>
      <c r="AN1492" s="3">
        <f t="shared" si="70"/>
        <v>2.7091570492086922E-2</v>
      </c>
      <c r="AO1492" s="3">
        <f t="shared" si="71"/>
        <v>22.715636529739061</v>
      </c>
    </row>
    <row r="1493" spans="1:41" x14ac:dyDescent="0.3">
      <c r="A1493" s="2">
        <v>1.344390118212532</v>
      </c>
      <c r="B1493" s="2">
        <v>29.90246491701226</v>
      </c>
      <c r="C1493" s="2">
        <v>26.34448667583279</v>
      </c>
      <c r="AN1493" s="3">
        <f t="shared" si="70"/>
        <v>21.439770932734692</v>
      </c>
      <c r="AO1493" s="3">
        <f t="shared" si="71"/>
        <v>13.343396151690937</v>
      </c>
    </row>
    <row r="1494" spans="1:41" x14ac:dyDescent="0.3">
      <c r="A1494" s="2">
        <v>0.48857062540916962</v>
      </c>
      <c r="B1494" s="2">
        <v>31.279243567858419</v>
      </c>
      <c r="C1494" s="2">
        <v>29.841247878574229</v>
      </c>
      <c r="AN1494" s="3">
        <f t="shared" si="70"/>
        <v>36.085114366120493</v>
      </c>
      <c r="AO1494" s="3">
        <f t="shared" si="71"/>
        <v>2.4367260647802105E-2</v>
      </c>
    </row>
    <row r="1495" spans="1:41" x14ac:dyDescent="0.3">
      <c r="A1495" s="2">
        <v>7.739278326895942</v>
      </c>
      <c r="B1495" s="2">
        <v>24.61144775567421</v>
      </c>
      <c r="C1495" s="2">
        <v>20.365436700149761</v>
      </c>
      <c r="AN1495" s="3">
        <f t="shared" si="70"/>
        <v>0.43653391927756063</v>
      </c>
      <c r="AO1495" s="3">
        <f t="shared" si="71"/>
        <v>92.773716074201616</v>
      </c>
    </row>
    <row r="1496" spans="1:41" x14ac:dyDescent="0.3">
      <c r="A1496" s="2">
        <v>21.754247174775251</v>
      </c>
      <c r="B1496" s="2">
        <v>16.066920378665881</v>
      </c>
      <c r="C1496" s="2">
        <v>36.046863293758292</v>
      </c>
      <c r="AN1496" s="3">
        <f t="shared" si="70"/>
        <v>84.736342435526211</v>
      </c>
      <c r="AO1496" s="3">
        <f t="shared" si="71"/>
        <v>36.596634795740535</v>
      </c>
    </row>
    <row r="1497" spans="1:41" x14ac:dyDescent="0.3">
      <c r="A1497" s="2">
        <v>1.4437525116117871</v>
      </c>
      <c r="B1497" s="2">
        <v>33.292752389156483</v>
      </c>
      <c r="C1497" s="2">
        <v>32.222575570346017</v>
      </c>
      <c r="AN1497" s="3">
        <f t="shared" si="70"/>
        <v>64.329984220063608</v>
      </c>
      <c r="AO1497" s="3">
        <f t="shared" si="71"/>
        <v>4.9516375582367784</v>
      </c>
    </row>
    <row r="1498" spans="1:41" x14ac:dyDescent="0.3">
      <c r="A1498" s="2">
        <v>11.20949351299214</v>
      </c>
      <c r="B1498" s="2">
        <v>20.936127888370329</v>
      </c>
      <c r="C1498" s="2">
        <v>26.602339795754361</v>
      </c>
      <c r="AN1498" s="3">
        <f t="shared" si="70"/>
        <v>18.801130171518182</v>
      </c>
      <c r="AO1498" s="3">
        <f t="shared" si="71"/>
        <v>11.526080983947232</v>
      </c>
    </row>
    <row r="1499" spans="1:41" x14ac:dyDescent="0.3">
      <c r="A1499" s="2">
        <v>1.442887868117124</v>
      </c>
      <c r="B1499" s="2">
        <v>28.574324043650069</v>
      </c>
      <c r="C1499" s="2">
        <v>25.68977173026154</v>
      </c>
      <c r="AN1499" s="3">
        <f t="shared" si="70"/>
        <v>10.904321109679191</v>
      </c>
      <c r="AO1499" s="3">
        <f t="shared" si="71"/>
        <v>18.555213671136691</v>
      </c>
    </row>
    <row r="1500" spans="1:41" x14ac:dyDescent="0.3">
      <c r="A1500" s="2">
        <v>3.2087542481012612</v>
      </c>
      <c r="B1500" s="2">
        <v>27.133910668849531</v>
      </c>
      <c r="C1500" s="2">
        <v>24.120567067484231</v>
      </c>
      <c r="AN1500" s="3">
        <f t="shared" si="70"/>
        <v>3.4661345746452747</v>
      </c>
      <c r="AO1500" s="3">
        <f t="shared" si="71"/>
        <v>34.536554608359751</v>
      </c>
    </row>
    <row r="1501" spans="1:41" x14ac:dyDescent="0.3">
      <c r="A1501" s="2">
        <v>10.92820010585271</v>
      </c>
      <c r="B1501" s="2">
        <v>25.789787920013978</v>
      </c>
      <c r="C1501" s="2">
        <v>31.780408365005002</v>
      </c>
      <c r="AN1501" s="3">
        <f t="shared" si="70"/>
        <v>0.26794395225051404</v>
      </c>
      <c r="AO1501" s="3">
        <f t="shared" si="71"/>
        <v>3.1793041197438776</v>
      </c>
    </row>
    <row r="1502" spans="1:41" x14ac:dyDescent="0.3">
      <c r="A1502" s="2">
        <v>5.7796126074348173</v>
      </c>
      <c r="B1502" s="2">
        <v>18.97077997878198</v>
      </c>
      <c r="C1502" s="2">
        <v>28.821900905571908</v>
      </c>
      <c r="AN1502" s="3">
        <f t="shared" si="70"/>
        <v>39.707325790121224</v>
      </c>
      <c r="AO1502" s="3">
        <f t="shared" si="71"/>
        <v>1.3816759677226309</v>
      </c>
    </row>
    <row r="1503" spans="1:41" x14ac:dyDescent="0.3">
      <c r="A1503" s="2">
        <v>15.541986105545639</v>
      </c>
      <c r="B1503" s="2">
        <v>30.199045129753909</v>
      </c>
      <c r="C1503" s="2">
        <v>38.401915937862093</v>
      </c>
      <c r="AN1503" s="3">
        <f t="shared" si="70"/>
        <v>24.274247420201046</v>
      </c>
      <c r="AO1503" s="3">
        <f t="shared" si="71"/>
        <v>70.636761536278797</v>
      </c>
    </row>
    <row r="1504" spans="1:41" x14ac:dyDescent="0.3">
      <c r="A1504" s="2">
        <v>5.6095069920309921</v>
      </c>
      <c r="B1504" s="2">
        <v>23.14604128347742</v>
      </c>
      <c r="C1504" s="2">
        <v>27.898554502445521</v>
      </c>
      <c r="AN1504" s="3">
        <f t="shared" si="70"/>
        <v>4.5203590740464454</v>
      </c>
      <c r="AO1504" s="3">
        <f t="shared" si="71"/>
        <v>4.4049343166504844</v>
      </c>
    </row>
    <row r="1505" spans="1:41" x14ac:dyDescent="0.3">
      <c r="A1505" s="2">
        <v>32.895348039795003</v>
      </c>
      <c r="B1505" s="2">
        <v>23.582414434951762</v>
      </c>
      <c r="C1505" s="2">
        <v>32.335081364228031</v>
      </c>
      <c r="AN1505" s="3">
        <f t="shared" si="70"/>
        <v>2.8552228103588733</v>
      </c>
      <c r="AO1505" s="3">
        <f t="shared" si="71"/>
        <v>5.4649970914525374</v>
      </c>
    </row>
    <row r="1506" spans="1:41" x14ac:dyDescent="0.3">
      <c r="A1506" s="2">
        <v>4.0280642338556554</v>
      </c>
      <c r="B1506" s="2">
        <v>27.784802453686641</v>
      </c>
      <c r="C1506" s="2">
        <v>24.419328931932071</v>
      </c>
      <c r="AN1506" s="3">
        <f t="shared" si="70"/>
        <v>6.3133977719661534</v>
      </c>
      <c r="AO1506" s="3">
        <f t="shared" si="71"/>
        <v>31.114297178927572</v>
      </c>
    </row>
    <row r="1507" spans="1:41" x14ac:dyDescent="0.3">
      <c r="A1507" s="2">
        <v>10.203445400440661</v>
      </c>
      <c r="B1507" s="2">
        <v>21.307931202018871</v>
      </c>
      <c r="C1507" s="2">
        <v>28.678027420923961</v>
      </c>
      <c r="AN1507" s="3">
        <f t="shared" si="70"/>
        <v>15.715069459922024</v>
      </c>
      <c r="AO1507" s="3">
        <f t="shared" si="71"/>
        <v>1.7406068980376204</v>
      </c>
    </row>
    <row r="1508" spans="1:41" x14ac:dyDescent="0.3">
      <c r="A1508" s="2">
        <v>12.689598349466729</v>
      </c>
      <c r="B1508" s="2">
        <v>28.205877944513318</v>
      </c>
      <c r="C1508" s="2">
        <v>34.986114544019983</v>
      </c>
      <c r="AN1508" s="3">
        <f t="shared" si="70"/>
        <v>8.6067309520196016</v>
      </c>
      <c r="AO1508" s="3">
        <f t="shared" si="71"/>
        <v>24.887791223621292</v>
      </c>
    </row>
    <row r="1509" spans="1:41" x14ac:dyDescent="0.3">
      <c r="A1509" s="2">
        <v>2.5294626434065952</v>
      </c>
      <c r="B1509" s="2">
        <v>27.777996555805181</v>
      </c>
      <c r="C1509" s="2">
        <v>29.02336406635499</v>
      </c>
      <c r="AN1509" s="3">
        <f t="shared" si="70"/>
        <v>6.2792424467708923</v>
      </c>
      <c r="AO1509" s="3">
        <f t="shared" si="71"/>
        <v>0.94864478248125261</v>
      </c>
    </row>
    <row r="1510" spans="1:41" x14ac:dyDescent="0.3">
      <c r="A1510" s="2">
        <v>3.083985592930949</v>
      </c>
      <c r="B1510" s="2">
        <v>23.201481403772899</v>
      </c>
      <c r="C1510" s="2">
        <v>35.93908652058424</v>
      </c>
      <c r="AN1510" s="3">
        <f t="shared" si="70"/>
        <v>4.2876886926080617</v>
      </c>
      <c r="AO1510" s="3">
        <f t="shared" si="71"/>
        <v>35.304256162114847</v>
      </c>
    </row>
    <row r="1511" spans="1:41" x14ac:dyDescent="0.3">
      <c r="A1511" s="2">
        <v>8.5084008485566933</v>
      </c>
      <c r="B1511" s="2">
        <v>24.09969892985734</v>
      </c>
      <c r="C1511" s="2">
        <v>25.354327244255622</v>
      </c>
      <c r="AN1511" s="3">
        <f t="shared" si="70"/>
        <v>1.3746529818963726</v>
      </c>
      <c r="AO1511" s="3">
        <f t="shared" si="71"/>
        <v>21.557642117170072</v>
      </c>
    </row>
    <row r="1512" spans="1:41" x14ac:dyDescent="0.3">
      <c r="A1512" s="2">
        <v>0.21033931967383651</v>
      </c>
      <c r="B1512" s="2">
        <v>29.456662813570912</v>
      </c>
      <c r="C1512" s="2">
        <v>34.34836851262758</v>
      </c>
      <c r="AN1512" s="3">
        <f t="shared" si="70"/>
        <v>17.510106550213429</v>
      </c>
      <c r="AO1512" s="3">
        <f t="shared" si="71"/>
        <v>18.931379146237884</v>
      </c>
    </row>
    <row r="1513" spans="1:41" x14ac:dyDescent="0.3">
      <c r="A1513" s="2">
        <v>2.2176616231937989</v>
      </c>
      <c r="B1513" s="2">
        <v>30.812745223697569</v>
      </c>
      <c r="C1513" s="2">
        <v>32.363424562105067</v>
      </c>
      <c r="AN1513" s="3">
        <f t="shared" si="70"/>
        <v>30.6981412296903</v>
      </c>
      <c r="AO1513" s="3">
        <f t="shared" si="71"/>
        <v>5.5983181046575918</v>
      </c>
    </row>
    <row r="1514" spans="1:41" x14ac:dyDescent="0.3">
      <c r="A1514" s="2">
        <v>2.1756853746374731</v>
      </c>
      <c r="B1514" s="2">
        <v>31.876393362895861</v>
      </c>
      <c r="C1514" s="2">
        <v>30.413921008646081</v>
      </c>
      <c r="AN1514" s="3">
        <f t="shared" si="70"/>
        <v>43.615965787600501</v>
      </c>
      <c r="AO1514" s="3">
        <f t="shared" si="71"/>
        <v>0.17353303753771668</v>
      </c>
    </row>
    <row r="1515" spans="1:41" x14ac:dyDescent="0.3">
      <c r="A1515" s="2">
        <v>7.1108729556939609</v>
      </c>
      <c r="B1515" s="2">
        <v>19.317310978372522</v>
      </c>
      <c r="C1515" s="2">
        <v>29.830270636023869</v>
      </c>
      <c r="AN1515" s="3">
        <f t="shared" si="70"/>
        <v>35.46016602922866</v>
      </c>
      <c r="AO1515" s="3">
        <f t="shared" si="71"/>
        <v>2.7914859187680031E-2</v>
      </c>
    </row>
    <row r="1516" spans="1:41" x14ac:dyDescent="0.3">
      <c r="A1516" s="2">
        <v>6.7599380192288052</v>
      </c>
      <c r="B1516" s="2">
        <v>23.197175365513871</v>
      </c>
      <c r="C1516" s="2">
        <v>28.783955007292139</v>
      </c>
      <c r="AN1516" s="3">
        <f t="shared" si="70"/>
        <v>4.3055400330934157</v>
      </c>
      <c r="AO1516" s="3">
        <f t="shared" si="71"/>
        <v>1.4723226537723288</v>
      </c>
    </row>
    <row r="1517" spans="1:41" x14ac:dyDescent="0.3">
      <c r="A1517" s="2">
        <v>5.0234602575515934</v>
      </c>
      <c r="B1517" s="2">
        <v>26.134981522602509</v>
      </c>
      <c r="C1517" s="2">
        <v>26.605525176018311</v>
      </c>
      <c r="AN1517" s="3">
        <f t="shared" si="70"/>
        <v>0.74446979540964786</v>
      </c>
      <c r="AO1517" s="3">
        <f t="shared" si="71"/>
        <v>11.504462346075206</v>
      </c>
    </row>
    <row r="1518" spans="1:41" x14ac:dyDescent="0.3">
      <c r="A1518" s="2">
        <v>6.4107408016855576</v>
      </c>
      <c r="B1518" s="2">
        <v>25.32169582304256</v>
      </c>
      <c r="C1518" s="2">
        <v>31.518792266581411</v>
      </c>
      <c r="AN1518" s="3">
        <f t="shared" si="70"/>
        <v>2.4543039021205945E-3</v>
      </c>
      <c r="AO1518" s="3">
        <f t="shared" si="71"/>
        <v>2.3147925321549194</v>
      </c>
    </row>
    <row r="1519" spans="1:41" x14ac:dyDescent="0.3">
      <c r="A1519" s="2">
        <v>1.103900547343692</v>
      </c>
      <c r="B1519" s="2">
        <v>25.969208530257941</v>
      </c>
      <c r="C1519" s="2">
        <v>26.998888184372749</v>
      </c>
      <c r="AN1519" s="3">
        <f t="shared" si="70"/>
        <v>0.48588377536219102</v>
      </c>
      <c r="AO1519" s="3">
        <f t="shared" si="71"/>
        <v>8.9907615106228302</v>
      </c>
    </row>
    <row r="1520" spans="1:41" x14ac:dyDescent="0.3">
      <c r="A1520" s="2">
        <v>15.444612499555509</v>
      </c>
      <c r="B1520" s="2">
        <v>32.071519206520477</v>
      </c>
      <c r="C1520" s="2">
        <v>36.275546083281426</v>
      </c>
      <c r="AN1520" s="3">
        <f t="shared" si="70"/>
        <v>46.231355088925064</v>
      </c>
      <c r="AO1520" s="3">
        <f t="shared" si="71"/>
        <v>39.415770660581813</v>
      </c>
    </row>
    <row r="1521" spans="1:41" x14ac:dyDescent="0.3">
      <c r="A1521" s="2">
        <v>4.4642189991916306</v>
      </c>
      <c r="B1521" s="2">
        <v>26.065110506546048</v>
      </c>
      <c r="C1521" s="2">
        <v>34.86174473153644</v>
      </c>
      <c r="AN1521" s="3">
        <f t="shared" si="70"/>
        <v>0.62877860749733638</v>
      </c>
      <c r="AO1521" s="3">
        <f t="shared" si="71"/>
        <v>23.662355164819889</v>
      </c>
    </row>
    <row r="1522" spans="1:41" x14ac:dyDescent="0.3">
      <c r="A1522" s="2">
        <v>23.11410873959581</v>
      </c>
      <c r="B1522" s="2">
        <v>24.527057278351219</v>
      </c>
      <c r="C1522" s="2">
        <v>33.378407056304432</v>
      </c>
      <c r="AN1522" s="3">
        <f t="shared" si="70"/>
        <v>0.55517045305961121</v>
      </c>
      <c r="AO1522" s="3">
        <f t="shared" si="71"/>
        <v>11.43156006630452</v>
      </c>
    </row>
    <row r="1523" spans="1:41" x14ac:dyDescent="0.3">
      <c r="A1523" s="2">
        <v>14.25222406910685</v>
      </c>
      <c r="B1523" s="2">
        <v>17.88833060805413</v>
      </c>
      <c r="C1523" s="2">
        <v>19.647671875665129</v>
      </c>
      <c r="AN1523" s="3">
        <f t="shared" si="70"/>
        <v>54.520861048206363</v>
      </c>
      <c r="AO1523" s="3">
        <f t="shared" si="71"/>
        <v>107.11579672321987</v>
      </c>
    </row>
    <row r="1524" spans="1:41" x14ac:dyDescent="0.3">
      <c r="A1524" s="2">
        <v>22.139834371449059</v>
      </c>
      <c r="B1524" s="2">
        <v>23.68812258462788</v>
      </c>
      <c r="C1524" s="2">
        <v>26.10596567647217</v>
      </c>
      <c r="AN1524" s="3">
        <f t="shared" si="70"/>
        <v>2.5091583490862028</v>
      </c>
      <c r="AO1524" s="3">
        <f t="shared" si="71"/>
        <v>15.142856705423844</v>
      </c>
    </row>
    <row r="1525" spans="1:41" x14ac:dyDescent="0.3">
      <c r="A1525" s="2">
        <v>25.6637070303588</v>
      </c>
      <c r="B1525" s="2">
        <v>28.637601774152401</v>
      </c>
      <c r="C1525" s="2">
        <v>34.47288849580471</v>
      </c>
      <c r="AN1525" s="3">
        <f t="shared" si="70"/>
        <v>11.326232720227576</v>
      </c>
      <c r="AO1525" s="3">
        <f t="shared" si="71"/>
        <v>20.030462364358247</v>
      </c>
    </row>
    <row r="1526" spans="1:41" x14ac:dyDescent="0.3">
      <c r="A1526" s="2">
        <v>0.40673820453741988</v>
      </c>
      <c r="B1526" s="2">
        <v>22.1856598779985</v>
      </c>
      <c r="C1526" s="2">
        <v>22.19599831440657</v>
      </c>
      <c r="AN1526" s="3">
        <f t="shared" si="70"/>
        <v>9.5264514681194239</v>
      </c>
      <c r="AO1526" s="3">
        <f t="shared" si="71"/>
        <v>60.86105755354334</v>
      </c>
    </row>
    <row r="1527" spans="1:41" x14ac:dyDescent="0.3">
      <c r="A1527" s="2">
        <v>1.020519524806468</v>
      </c>
      <c r="B1527" s="2">
        <v>31.20286649940175</v>
      </c>
      <c r="C1527" s="2">
        <v>29.310938505424861</v>
      </c>
      <c r="AN1527" s="3">
        <f t="shared" si="70"/>
        <v>35.173340176581327</v>
      </c>
      <c r="AO1527" s="3">
        <f t="shared" si="71"/>
        <v>0.47115805025782842</v>
      </c>
    </row>
    <row r="1528" spans="1:41" x14ac:dyDescent="0.3">
      <c r="A1528" s="2">
        <v>24.229071024164181</v>
      </c>
      <c r="B1528" s="2">
        <v>21.169259476447579</v>
      </c>
      <c r="C1528" s="2">
        <v>29.764409655841909</v>
      </c>
      <c r="AN1528" s="3">
        <f t="shared" si="70"/>
        <v>16.833750786525588</v>
      </c>
      <c r="AO1528" s="3">
        <f t="shared" si="71"/>
        <v>5.4260291188212059E-2</v>
      </c>
    </row>
    <row r="1529" spans="1:41" x14ac:dyDescent="0.3">
      <c r="A1529" s="2">
        <v>10.16749417109949</v>
      </c>
      <c r="B1529" s="2">
        <v>24.037933395273711</v>
      </c>
      <c r="C1529" s="2">
        <v>20.72023200144633</v>
      </c>
      <c r="AN1529" s="3">
        <f t="shared" si="70"/>
        <v>1.5233027016470089</v>
      </c>
      <c r="AO1529" s="3">
        <f t="shared" si="71"/>
        <v>86.064882007686023</v>
      </c>
    </row>
    <row r="1530" spans="1:41" x14ac:dyDescent="0.3">
      <c r="A1530" s="2">
        <v>10.645563480961609</v>
      </c>
      <c r="B1530" s="2">
        <v>27.263879024817228</v>
      </c>
      <c r="C1530" s="2">
        <v>34.024423761970617</v>
      </c>
      <c r="AN1530" s="3">
        <f t="shared" si="70"/>
        <v>3.96696502339972</v>
      </c>
      <c r="AO1530" s="3">
        <f t="shared" si="71"/>
        <v>16.217338864018878</v>
      </c>
    </row>
    <row r="1531" spans="1:41" x14ac:dyDescent="0.3">
      <c r="A1531" s="2">
        <v>2.903973620786958</v>
      </c>
      <c r="B1531" s="2">
        <v>26.7079125406675</v>
      </c>
      <c r="C1531" s="2">
        <v>32.372550996601511</v>
      </c>
      <c r="AN1531" s="3">
        <f t="shared" si="70"/>
        <v>2.0614000272593742</v>
      </c>
      <c r="AO1531" s="3">
        <f t="shared" si="71"/>
        <v>5.6415890812346889</v>
      </c>
    </row>
    <row r="1532" spans="1:41" x14ac:dyDescent="0.3">
      <c r="A1532" s="2">
        <v>3.9830517679896689</v>
      </c>
      <c r="B1532" s="2">
        <v>18.930431714531171</v>
      </c>
      <c r="C1532" s="2">
        <v>34.054066341680652</v>
      </c>
      <c r="AN1532" s="3">
        <f t="shared" si="70"/>
        <v>40.217452852789542</v>
      </c>
      <c r="AO1532" s="3">
        <f t="shared" si="71"/>
        <v>16.456963372676871</v>
      </c>
    </row>
    <row r="1533" spans="1:41" x14ac:dyDescent="0.3">
      <c r="A1533" s="2">
        <v>1.0550256877029469</v>
      </c>
      <c r="B1533" s="2">
        <v>28.002978506102931</v>
      </c>
      <c r="C1533" s="2">
        <v>35.215212657026747</v>
      </c>
      <c r="AN1533" s="3">
        <f t="shared" si="70"/>
        <v>7.4573976142943854</v>
      </c>
      <c r="AO1533" s="3">
        <f t="shared" si="71"/>
        <v>27.226111153241341</v>
      </c>
    </row>
    <row r="1534" spans="1:41" x14ac:dyDescent="0.3">
      <c r="A1534" s="2">
        <v>1.756687972847796</v>
      </c>
      <c r="B1534" s="2">
        <v>23.750948122674401</v>
      </c>
      <c r="C1534" s="2">
        <v>35.916751913139912</v>
      </c>
      <c r="AN1534" s="3">
        <f t="shared" si="70"/>
        <v>2.3140700333975044</v>
      </c>
      <c r="AO1534" s="3">
        <f t="shared" si="71"/>
        <v>35.039342203838984</v>
      </c>
    </row>
    <row r="1535" spans="1:41" x14ac:dyDescent="0.3">
      <c r="A1535" s="2">
        <v>2.2106518606527219</v>
      </c>
      <c r="B1535" s="2">
        <v>17.658625950029709</v>
      </c>
      <c r="C1535" s="2">
        <v>32.405539142933463</v>
      </c>
      <c r="AN1535" s="3">
        <f t="shared" si="70"/>
        <v>57.965822941988556</v>
      </c>
      <c r="AO1535" s="3">
        <f t="shared" si="71"/>
        <v>5.7993843843810513</v>
      </c>
    </row>
    <row r="1536" spans="1:41" x14ac:dyDescent="0.3">
      <c r="A1536" s="2">
        <v>24.68956863101403</v>
      </c>
      <c r="B1536" s="2">
        <v>24.721080044678459</v>
      </c>
      <c r="C1536" s="2">
        <v>31.29390588411362</v>
      </c>
      <c r="AN1536" s="3">
        <f t="shared" si="70"/>
        <v>0.30368348675471318</v>
      </c>
      <c r="AO1536" s="3">
        <f t="shared" si="71"/>
        <v>1.6810622410506719</v>
      </c>
    </row>
    <row r="1537" spans="1:41" x14ac:dyDescent="0.3">
      <c r="A1537" s="2">
        <v>15.6575000290766</v>
      </c>
      <c r="B1537" s="2">
        <v>13.18001539455271</v>
      </c>
      <c r="C1537" s="2">
        <v>36.849007010486133</v>
      </c>
      <c r="AN1537" s="3">
        <f t="shared" si="70"/>
        <v>146.21983761265244</v>
      </c>
      <c r="AO1537" s="3">
        <f t="shared" si="71"/>
        <v>46.945230636841366</v>
      </c>
    </row>
    <row r="1538" spans="1:41" x14ac:dyDescent="0.3">
      <c r="A1538" s="2">
        <v>5.7756126452500398</v>
      </c>
      <c r="B1538" s="2">
        <v>23.213495258262881</v>
      </c>
      <c r="C1538" s="2">
        <v>24.806382609428489</v>
      </c>
      <c r="AN1538" s="3">
        <f t="shared" si="70"/>
        <v>4.238079485353107</v>
      </c>
      <c r="AO1538" s="3">
        <f t="shared" si="71"/>
        <v>26.946122109723618</v>
      </c>
    </row>
    <row r="1539" spans="1:41" x14ac:dyDescent="0.3">
      <c r="A1539" s="2">
        <v>0.36733756553218821</v>
      </c>
      <c r="B1539" s="2">
        <v>21.814132976283869</v>
      </c>
      <c r="C1539" s="2">
        <v>31.748331140746728</v>
      </c>
      <c r="AN1539" s="3">
        <f t="shared" ref="AN1539:AN1602" si="72">(B1539-$AK$2)^2</f>
        <v>11.957915565834723</v>
      </c>
      <c r="AO1539" s="3">
        <f t="shared" ref="AO1539:AO1602" si="73">(C1539-$AK$3)^2</f>
        <v>3.0659418162890688</v>
      </c>
    </row>
    <row r="1540" spans="1:41" x14ac:dyDescent="0.3">
      <c r="A1540" s="2">
        <v>1.8896509079529269</v>
      </c>
      <c r="B1540" s="2">
        <v>33.133725294625819</v>
      </c>
      <c r="C1540" s="2">
        <v>44.586363044728287</v>
      </c>
      <c r="AN1540" s="3">
        <f t="shared" si="72"/>
        <v>61.804289203941131</v>
      </c>
      <c r="AO1540" s="3">
        <f t="shared" si="73"/>
        <v>212.83935878476149</v>
      </c>
    </row>
    <row r="1541" spans="1:41" x14ac:dyDescent="0.3">
      <c r="A1541" s="2">
        <v>1.328219268768376</v>
      </c>
      <c r="B1541" s="2">
        <v>25.090084955067439</v>
      </c>
      <c r="C1541" s="2">
        <v>33.862961760311208</v>
      </c>
      <c r="AN1541" s="3">
        <f t="shared" si="72"/>
        <v>3.3149461737797509E-2</v>
      </c>
      <c r="AO1541" s="3">
        <f t="shared" si="73"/>
        <v>14.942969428451232</v>
      </c>
    </row>
    <row r="1542" spans="1:41" x14ac:dyDescent="0.3">
      <c r="A1542" s="2">
        <v>2.3588278756930099</v>
      </c>
      <c r="B1542" s="2">
        <v>11.126537336700389</v>
      </c>
      <c r="C1542" s="2">
        <v>24.685350564385409</v>
      </c>
      <c r="AN1542" s="3">
        <f t="shared" si="72"/>
        <v>200.09849600550822</v>
      </c>
      <c r="AO1542" s="3">
        <f t="shared" si="73"/>
        <v>28.217317189465273</v>
      </c>
    </row>
    <row r="1543" spans="1:41" x14ac:dyDescent="0.3">
      <c r="A1543" s="2">
        <v>10.668133881497379</v>
      </c>
      <c r="B1543" s="2">
        <v>23.83534473181896</v>
      </c>
      <c r="C1543" s="2">
        <v>20.12687620211733</v>
      </c>
      <c r="AN1543" s="3">
        <f t="shared" si="72"/>
        <v>2.0644234348461827</v>
      </c>
      <c r="AO1543" s="3">
        <f t="shared" si="73"/>
        <v>97.42621431828394</v>
      </c>
    </row>
    <row r="1544" spans="1:41" x14ac:dyDescent="0.3">
      <c r="A1544" s="2">
        <v>1.8570564739065929</v>
      </c>
      <c r="B1544" s="2">
        <v>35.360732839749033</v>
      </c>
      <c r="C1544" s="2">
        <v>37.614866113861403</v>
      </c>
      <c r="AN1544" s="3">
        <f t="shared" si="72"/>
        <v>101.77940501871448</v>
      </c>
      <c r="AO1544" s="3">
        <f t="shared" si="73"/>
        <v>58.02658159337367</v>
      </c>
    </row>
    <row r="1545" spans="1:41" x14ac:dyDescent="0.3">
      <c r="A1545" s="2">
        <v>13.301482896880181</v>
      </c>
      <c r="B1545" s="2">
        <v>19.74924492921426</v>
      </c>
      <c r="C1545" s="2">
        <v>32.199986624771093</v>
      </c>
      <c r="AN1545" s="3">
        <f t="shared" si="72"/>
        <v>30.502534451067369</v>
      </c>
      <c r="AO1545" s="3">
        <f t="shared" si="73"/>
        <v>4.8516167315856187</v>
      </c>
    </row>
    <row r="1546" spans="1:41" x14ac:dyDescent="0.3">
      <c r="A1546" s="2">
        <v>0.16462119998395891</v>
      </c>
      <c r="B1546" s="2">
        <v>23.743640227467768</v>
      </c>
      <c r="C1546" s="2">
        <v>27.476276954529428</v>
      </c>
      <c r="AN1546" s="3">
        <f t="shared" si="72"/>
        <v>2.3363570780376604</v>
      </c>
      <c r="AO1546" s="3">
        <f t="shared" si="73"/>
        <v>6.3557994220438578</v>
      </c>
    </row>
    <row r="1547" spans="1:41" x14ac:dyDescent="0.3">
      <c r="A1547" s="2">
        <v>1.3415650967276671</v>
      </c>
      <c r="B1547" s="2">
        <v>21.200338110834011</v>
      </c>
      <c r="C1547" s="2">
        <v>32.238660701877272</v>
      </c>
      <c r="AN1547" s="3">
        <f t="shared" si="72"/>
        <v>16.579691894983068</v>
      </c>
      <c r="AO1547" s="3">
        <f t="shared" si="73"/>
        <v>5.023482444692501</v>
      </c>
    </row>
    <row r="1548" spans="1:41" x14ac:dyDescent="0.3">
      <c r="A1548" s="2">
        <v>8.416583641463621</v>
      </c>
      <c r="B1548" s="2">
        <v>18.946999003677149</v>
      </c>
      <c r="C1548" s="2">
        <v>20.253315794561541</v>
      </c>
      <c r="AN1548" s="3">
        <f t="shared" si="72"/>
        <v>40.007597004747339</v>
      </c>
      <c r="AO1548" s="3">
        <f t="shared" si="73"/>
        <v>94.946164415790477</v>
      </c>
    </row>
    <row r="1549" spans="1:41" x14ac:dyDescent="0.3">
      <c r="A1549" s="2">
        <v>2.6601841227472511</v>
      </c>
      <c r="B1549" s="2">
        <v>23.58159677967004</v>
      </c>
      <c r="C1549" s="2">
        <v>23.727707269839009</v>
      </c>
      <c r="AN1549" s="3">
        <f t="shared" si="72"/>
        <v>2.8579867293370382</v>
      </c>
      <c r="AO1549" s="3">
        <f t="shared" si="73"/>
        <v>39.308395396932092</v>
      </c>
    </row>
    <row r="1550" spans="1:41" x14ac:dyDescent="0.3">
      <c r="A1550" s="2">
        <v>9.4903002580636162</v>
      </c>
      <c r="B1550" s="2">
        <v>17.652770310281181</v>
      </c>
      <c r="C1550" s="2">
        <v>28.79015916434329</v>
      </c>
      <c r="AN1550" s="3">
        <f t="shared" si="72"/>
        <v>58.055021395897434</v>
      </c>
      <c r="AO1550" s="3">
        <f t="shared" si="73"/>
        <v>1.4573049834476979</v>
      </c>
    </row>
    <row r="1551" spans="1:41" x14ac:dyDescent="0.3">
      <c r="A1551" s="2">
        <v>41.970915925344563</v>
      </c>
      <c r="B1551" s="2">
        <v>26.06778730359904</v>
      </c>
      <c r="C1551" s="2">
        <v>24.758948239753259</v>
      </c>
      <c r="AN1551" s="3">
        <f t="shared" si="72"/>
        <v>0.63303093524703324</v>
      </c>
      <c r="AO1551" s="3">
        <f t="shared" si="73"/>
        <v>27.440832475636409</v>
      </c>
    </row>
    <row r="1552" spans="1:41" x14ac:dyDescent="0.3">
      <c r="A1552" s="2">
        <v>8.14548100490574</v>
      </c>
      <c r="B1552" s="2">
        <v>29.6694636489181</v>
      </c>
      <c r="C1552" s="2">
        <v>23.821397355912751</v>
      </c>
      <c r="AN1552" s="3">
        <f t="shared" si="72"/>
        <v>19.336324308422373</v>
      </c>
      <c r="AO1552" s="3">
        <f t="shared" si="73"/>
        <v>38.1423668621945</v>
      </c>
    </row>
    <row r="1553" spans="1:41" x14ac:dyDescent="0.3">
      <c r="A1553" s="2">
        <v>33.397907262342997</v>
      </c>
      <c r="B1553" s="2">
        <v>24.550193179619431</v>
      </c>
      <c r="C1553" s="2">
        <v>22.611795903314899</v>
      </c>
      <c r="AN1553" s="3">
        <f t="shared" si="72"/>
        <v>0.52122871336299792</v>
      </c>
      <c r="AO1553" s="3">
        <f t="shared" si="73"/>
        <v>54.546380375552857</v>
      </c>
    </row>
    <row r="1554" spans="1:41" x14ac:dyDescent="0.3">
      <c r="A1554" s="2">
        <v>0.73468839430570965</v>
      </c>
      <c r="B1554" s="2">
        <v>20.011298686002881</v>
      </c>
      <c r="C1554" s="2">
        <v>24.36330220624755</v>
      </c>
      <c r="AN1554" s="3">
        <f t="shared" si="72"/>
        <v>27.676608014491084</v>
      </c>
      <c r="AO1554" s="3">
        <f t="shared" si="73"/>
        <v>31.742472465869945</v>
      </c>
    </row>
    <row r="1555" spans="1:41" x14ac:dyDescent="0.3">
      <c r="A1555" s="2">
        <v>14.83010356728796</v>
      </c>
      <c r="B1555" s="2">
        <v>25.85863764984461</v>
      </c>
      <c r="C1555" s="2">
        <v>35.609126032304893</v>
      </c>
      <c r="AN1555" s="3">
        <f t="shared" si="72"/>
        <v>0.34396202588304431</v>
      </c>
      <c r="AO1555" s="3">
        <f t="shared" si="73"/>
        <v>31.492052225906686</v>
      </c>
    </row>
    <row r="1556" spans="1:41" x14ac:dyDescent="0.3">
      <c r="A1556" s="2">
        <v>2.9924625118405159</v>
      </c>
      <c r="B1556" s="2">
        <v>27.844007205906411</v>
      </c>
      <c r="C1556" s="2">
        <v>31.59363358119063</v>
      </c>
      <c r="AN1556" s="3">
        <f t="shared" si="72"/>
        <v>6.6144243273260974</v>
      </c>
      <c r="AO1556" s="3">
        <f t="shared" si="73"/>
        <v>2.5481275264511032</v>
      </c>
    </row>
    <row r="1557" spans="1:41" x14ac:dyDescent="0.3">
      <c r="A1557" s="2">
        <v>12.169788107540519</v>
      </c>
      <c r="B1557" s="2">
        <v>29.564404284763139</v>
      </c>
      <c r="C1557" s="2">
        <v>23.17742634161673</v>
      </c>
      <c r="AN1557" s="3">
        <f t="shared" si="72"/>
        <v>18.423404854315727</v>
      </c>
      <c r="AO1557" s="3">
        <f t="shared" si="73"/>
        <v>46.511331983029713</v>
      </c>
    </row>
    <row r="1558" spans="1:41" x14ac:dyDescent="0.3">
      <c r="A1558" s="2">
        <v>9.8166491379477918</v>
      </c>
      <c r="B1558" s="2">
        <v>26.62273883526996</v>
      </c>
      <c r="C1558" s="2">
        <v>31.937078697292229</v>
      </c>
      <c r="AN1558" s="3">
        <f t="shared" si="72"/>
        <v>1.8240769892787005</v>
      </c>
      <c r="AO1558" s="3">
        <f t="shared" si="73"/>
        <v>3.7625550197247115</v>
      </c>
    </row>
    <row r="1559" spans="1:41" x14ac:dyDescent="0.3">
      <c r="A1559" s="2">
        <v>11.81418827513258</v>
      </c>
      <c r="B1559" s="2">
        <v>19.885768582120541</v>
      </c>
      <c r="C1559" s="2">
        <v>31.24478534541068</v>
      </c>
      <c r="AN1559" s="3">
        <f t="shared" si="72"/>
        <v>29.013157473433836</v>
      </c>
      <c r="AO1559" s="3">
        <f t="shared" si="73"/>
        <v>1.5560998289272441</v>
      </c>
    </row>
    <row r="1560" spans="1:41" x14ac:dyDescent="0.3">
      <c r="A1560" s="2">
        <v>1.383990473377928</v>
      </c>
      <c r="B1560" s="2">
        <v>27.004472658703129</v>
      </c>
      <c r="C1560" s="2">
        <v>34.9455504989226</v>
      </c>
      <c r="AN1560" s="3">
        <f t="shared" si="72"/>
        <v>3.0009248467080618</v>
      </c>
      <c r="AO1560" s="3">
        <f t="shared" si="73"/>
        <v>24.484707566542323</v>
      </c>
    </row>
    <row r="1561" spans="1:41" x14ac:dyDescent="0.3">
      <c r="A1561" s="2">
        <v>16.481826864497648</v>
      </c>
      <c r="B1561" s="2">
        <v>21.437413894608621</v>
      </c>
      <c r="C1561" s="2">
        <v>26.80803657921102</v>
      </c>
      <c r="AN1561" s="3">
        <f t="shared" si="72"/>
        <v>14.705238512928629</v>
      </c>
      <c r="AO1561" s="3">
        <f t="shared" si="73"/>
        <v>10.171707599041024</v>
      </c>
    </row>
    <row r="1562" spans="1:41" x14ac:dyDescent="0.3">
      <c r="A1562" s="2">
        <v>2.705834042833815</v>
      </c>
      <c r="B1562" s="2">
        <v>15.34585151806867</v>
      </c>
      <c r="C1562" s="2">
        <v>32.77260314739447</v>
      </c>
      <c r="AN1562" s="3">
        <f t="shared" si="72"/>
        <v>98.531498660589534</v>
      </c>
      <c r="AO1562" s="3">
        <f t="shared" si="73"/>
        <v>7.702040906662857</v>
      </c>
    </row>
    <row r="1563" spans="1:41" x14ac:dyDescent="0.3">
      <c r="A1563" s="2">
        <v>5.3442807738635354</v>
      </c>
      <c r="B1563" s="2">
        <v>31.68849307317911</v>
      </c>
      <c r="C1563" s="2">
        <v>24.722947454768551</v>
      </c>
      <c r="AN1563" s="3">
        <f t="shared" si="72"/>
        <v>41.169395662193317</v>
      </c>
      <c r="AO1563" s="3">
        <f t="shared" si="73"/>
        <v>27.819301541958968</v>
      </c>
    </row>
    <row r="1564" spans="1:41" x14ac:dyDescent="0.3">
      <c r="A1564" s="2">
        <v>19.405740946706619</v>
      </c>
      <c r="B1564" s="2">
        <v>37.30331678699136</v>
      </c>
      <c r="C1564" s="2">
        <v>37.931388699392599</v>
      </c>
      <c r="AN1564" s="3">
        <f t="shared" si="72"/>
        <v>144.74885655649854</v>
      </c>
      <c r="AO1564" s="3">
        <f t="shared" si="73"/>
        <v>62.949001172155235</v>
      </c>
    </row>
    <row r="1565" spans="1:41" x14ac:dyDescent="0.3">
      <c r="A1565" s="2">
        <v>0.89212896377685158</v>
      </c>
      <c r="B1565" s="2">
        <v>22.50843005584569</v>
      </c>
      <c r="C1565" s="2">
        <v>21.01092570882825</v>
      </c>
      <c r="AN1565" s="3">
        <f t="shared" si="72"/>
        <v>7.6381749669884096</v>
      </c>
      <c r="AO1565" s="3">
        <f t="shared" si="73"/>
        <v>80.755786328611833</v>
      </c>
    </row>
    <row r="1566" spans="1:41" x14ac:dyDescent="0.3">
      <c r="A1566" s="2">
        <v>10.39633287806287</v>
      </c>
      <c r="B1566" s="2">
        <v>27.105840464507519</v>
      </c>
      <c r="C1566" s="2">
        <v>27.213454982332468</v>
      </c>
      <c r="AN1566" s="3">
        <f t="shared" si="72"/>
        <v>3.3624027808045582</v>
      </c>
      <c r="AO1566" s="3">
        <f t="shared" si="73"/>
        <v>7.7500605609995841</v>
      </c>
    </row>
    <row r="1567" spans="1:41" x14ac:dyDescent="0.3">
      <c r="A1567" s="2">
        <v>15.54806910448888</v>
      </c>
      <c r="B1567" s="2">
        <v>23.918926882049629</v>
      </c>
      <c r="C1567" s="2">
        <v>30.71745188603867</v>
      </c>
      <c r="AN1567" s="3">
        <f t="shared" si="72"/>
        <v>1.8312260454513172</v>
      </c>
      <c r="AO1567" s="3">
        <f t="shared" si="73"/>
        <v>0.51854954792341246</v>
      </c>
    </row>
    <row r="1568" spans="1:41" x14ac:dyDescent="0.3">
      <c r="A1568" s="2">
        <v>0.36865316166661483</v>
      </c>
      <c r="B1568" s="2">
        <v>28.753735940939741</v>
      </c>
      <c r="C1568" s="2">
        <v>33.471930254632937</v>
      </c>
      <c r="AN1568" s="3">
        <f t="shared" si="72"/>
        <v>12.121406604100157</v>
      </c>
      <c r="AO1568" s="3">
        <f t="shared" si="73"/>
        <v>12.07272156066438</v>
      </c>
    </row>
    <row r="1569" spans="1:41" x14ac:dyDescent="0.3">
      <c r="A1569" s="2">
        <v>6.133898111925018</v>
      </c>
      <c r="B1569" s="2">
        <v>22.418310526570561</v>
      </c>
      <c r="C1569" s="2">
        <v>28.452844935354399</v>
      </c>
      <c r="AN1569" s="3">
        <f t="shared" si="72"/>
        <v>8.1444276590081692</v>
      </c>
      <c r="AO1569" s="3">
        <f t="shared" si="73"/>
        <v>2.3854898427399132</v>
      </c>
    </row>
    <row r="1570" spans="1:41" x14ac:dyDescent="0.3">
      <c r="A1570" s="2">
        <v>3.78020633624089</v>
      </c>
      <c r="B1570" s="2">
        <v>33.322870476317739</v>
      </c>
      <c r="C1570" s="2">
        <v>30.303454512482439</v>
      </c>
      <c r="AN1570" s="3">
        <f t="shared" si="72"/>
        <v>64.814021428279844</v>
      </c>
      <c r="AO1570" s="3">
        <f t="shared" si="73"/>
        <v>9.3701172004126171E-2</v>
      </c>
    </row>
    <row r="1571" spans="1:41" x14ac:dyDescent="0.3">
      <c r="A1571" s="2">
        <v>10.451059467756259</v>
      </c>
      <c r="B1571" s="2">
        <v>20.5921475406798</v>
      </c>
      <c r="C1571" s="2">
        <v>28.868625289616741</v>
      </c>
      <c r="AN1571" s="3">
        <f t="shared" si="72"/>
        <v>21.902468803351727</v>
      </c>
      <c r="AO1571" s="3">
        <f t="shared" si="73"/>
        <v>1.2740150490451421</v>
      </c>
    </row>
    <row r="1572" spans="1:41" x14ac:dyDescent="0.3">
      <c r="A1572" s="2">
        <v>8.4960681822655548</v>
      </c>
      <c r="B1572" s="2">
        <v>29.62849852669617</v>
      </c>
      <c r="C1572" s="2">
        <v>31.723353828268522</v>
      </c>
      <c r="AN1572" s="3">
        <f t="shared" si="72"/>
        <v>18.977729868267318</v>
      </c>
      <c r="AO1572" s="3">
        <f t="shared" si="73"/>
        <v>2.9790959783649886</v>
      </c>
    </row>
    <row r="1573" spans="1:41" x14ac:dyDescent="0.3">
      <c r="A1573" s="2">
        <v>1.1498436699599419</v>
      </c>
      <c r="B1573" s="2">
        <v>29.995350131870001</v>
      </c>
      <c r="C1573" s="2">
        <v>40.270839208617318</v>
      </c>
      <c r="AN1573" s="3">
        <f t="shared" si="72"/>
        <v>22.308573279036711</v>
      </c>
      <c r="AO1573" s="3">
        <f t="shared" si="73"/>
        <v>105.54462077516185</v>
      </c>
    </row>
    <row r="1574" spans="1:41" x14ac:dyDescent="0.3">
      <c r="A1574" s="2">
        <v>0.20219923981663099</v>
      </c>
      <c r="B1574" s="2">
        <v>24.934118006507159</v>
      </c>
      <c r="C1574" s="2">
        <v>36.40389453960649</v>
      </c>
      <c r="AN1574" s="3">
        <f t="shared" si="72"/>
        <v>0.11426893558826089</v>
      </c>
      <c r="AO1574" s="3">
        <f t="shared" si="73"/>
        <v>41.043838041333167</v>
      </c>
    </row>
    <row r="1575" spans="1:41" x14ac:dyDescent="0.3">
      <c r="A1575" s="2">
        <v>3.9247238885839089</v>
      </c>
      <c r="B1575" s="2">
        <v>23.823667379542261</v>
      </c>
      <c r="C1575" s="2">
        <v>38.097243748295902</v>
      </c>
      <c r="AN1575" s="3">
        <f t="shared" si="72"/>
        <v>2.098116072180102</v>
      </c>
      <c r="AO1575" s="3">
        <f t="shared" si="73"/>
        <v>65.60831047226435</v>
      </c>
    </row>
    <row r="1576" spans="1:41" x14ac:dyDescent="0.3">
      <c r="A1576" s="2">
        <v>11.564504228775411</v>
      </c>
      <c r="B1576" s="2">
        <v>28.585019099528228</v>
      </c>
      <c r="C1576" s="2">
        <v>35.169152427288147</v>
      </c>
      <c r="AN1576" s="3">
        <f t="shared" si="72"/>
        <v>10.975069261103052</v>
      </c>
      <c r="AO1576" s="3">
        <f t="shared" si="73"/>
        <v>26.74756061206854</v>
      </c>
    </row>
    <row r="1577" spans="1:41" x14ac:dyDescent="0.3">
      <c r="A1577" s="2">
        <v>1.0564525160880951</v>
      </c>
      <c r="B1577" s="2">
        <v>23.69498856412682</v>
      </c>
      <c r="C1577" s="2">
        <v>39.017765590823657</v>
      </c>
      <c r="AN1577" s="3">
        <f t="shared" si="72"/>
        <v>2.487453624071954</v>
      </c>
      <c r="AO1577" s="3">
        <f t="shared" si="73"/>
        <v>81.367932776723364</v>
      </c>
    </row>
    <row r="1578" spans="1:41" x14ac:dyDescent="0.3">
      <c r="A1578" s="2">
        <v>7.0040904605266494</v>
      </c>
      <c r="B1578" s="2">
        <v>22.1521790295287</v>
      </c>
      <c r="C1578" s="2">
        <v>27.218568746008241</v>
      </c>
      <c r="AN1578" s="3">
        <f t="shared" si="72"/>
        <v>9.7342493790306435</v>
      </c>
      <c r="AO1578" s="3">
        <f t="shared" si="73"/>
        <v>7.7216143691792309</v>
      </c>
    </row>
    <row r="1579" spans="1:41" x14ac:dyDescent="0.3">
      <c r="A1579" s="2">
        <v>7.0727357162447646</v>
      </c>
      <c r="B1579" s="2">
        <v>30.236603178579191</v>
      </c>
      <c r="C1579" s="2">
        <v>31.07213791451538</v>
      </c>
      <c r="AN1579" s="3">
        <f t="shared" si="72"/>
        <v>24.645746795485948</v>
      </c>
      <c r="AO1579" s="3">
        <f t="shared" si="73"/>
        <v>1.1551732726349939</v>
      </c>
    </row>
    <row r="1580" spans="1:41" x14ac:dyDescent="0.3">
      <c r="A1580" s="2">
        <v>13.089638586040699</v>
      </c>
      <c r="B1580" s="2">
        <v>22.876407316778248</v>
      </c>
      <c r="C1580" s="2">
        <v>35.58381071974744</v>
      </c>
      <c r="AN1580" s="3">
        <f t="shared" si="72"/>
        <v>5.739606441590948</v>
      </c>
      <c r="AO1580" s="3">
        <f t="shared" si="73"/>
        <v>31.20856526324075</v>
      </c>
    </row>
    <row r="1581" spans="1:41" x14ac:dyDescent="0.3">
      <c r="A1581" s="2">
        <v>3.091667243522545</v>
      </c>
      <c r="B1581" s="2">
        <v>19.250089165413161</v>
      </c>
      <c r="C1581" s="2">
        <v>25.5775750384561</v>
      </c>
      <c r="AN1581" s="3">
        <f t="shared" si="72"/>
        <v>36.265275608821632</v>
      </c>
      <c r="AO1581" s="3">
        <f t="shared" si="73"/>
        <v>19.534393392273216</v>
      </c>
    </row>
    <row r="1582" spans="1:41" x14ac:dyDescent="0.3">
      <c r="A1582" s="2">
        <v>10.76624688142725</v>
      </c>
      <c r="B1582" s="2">
        <v>31.417255591233431</v>
      </c>
      <c r="C1582" s="2">
        <v>37.731199460694548</v>
      </c>
      <c r="AN1582" s="3">
        <f t="shared" si="72"/>
        <v>37.762262610362441</v>
      </c>
      <c r="AO1582" s="3">
        <f t="shared" si="73"/>
        <v>59.812457784960806</v>
      </c>
    </row>
    <row r="1583" spans="1:41" x14ac:dyDescent="0.3">
      <c r="A1583" s="2">
        <v>0.67156477389135927</v>
      </c>
      <c r="B1583" s="2">
        <v>21.211408749064798</v>
      </c>
      <c r="C1583" s="2">
        <v>27.70299347554862</v>
      </c>
      <c r="AN1583" s="3">
        <f t="shared" si="72"/>
        <v>16.489659232973196</v>
      </c>
      <c r="AO1583" s="3">
        <f t="shared" si="73"/>
        <v>5.264062871102932</v>
      </c>
    </row>
    <row r="1584" spans="1:41" x14ac:dyDescent="0.3">
      <c r="A1584" s="2">
        <v>13.07779740163398</v>
      </c>
      <c r="B1584" s="2">
        <v>14.63851673460525</v>
      </c>
      <c r="C1584" s="2">
        <v>26.97003576867797</v>
      </c>
      <c r="AN1584" s="3">
        <f t="shared" si="72"/>
        <v>113.07426045090597</v>
      </c>
      <c r="AO1584" s="3">
        <f t="shared" si="73"/>
        <v>9.1646195929579104</v>
      </c>
    </row>
    <row r="1585" spans="1:41" x14ac:dyDescent="0.3">
      <c r="A1585" s="2">
        <v>34.130156512274397</v>
      </c>
      <c r="B1585" s="2">
        <v>31.76361793319435</v>
      </c>
      <c r="C1585" s="2">
        <v>24.457132475524389</v>
      </c>
      <c r="AN1585" s="3">
        <f t="shared" si="72"/>
        <v>42.139092422209885</v>
      </c>
      <c r="AO1585" s="3">
        <f t="shared" si="73"/>
        <v>30.693988509753751</v>
      </c>
    </row>
    <row r="1586" spans="1:41" x14ac:dyDescent="0.3">
      <c r="A1586" s="2">
        <v>0.96164142906055172</v>
      </c>
      <c r="B1586" s="2">
        <v>20.83577189696053</v>
      </c>
      <c r="C1586" s="2">
        <v>28.433744353021389</v>
      </c>
      <c r="AN1586" s="3">
        <f t="shared" si="72"/>
        <v>19.681494073879367</v>
      </c>
      <c r="AO1586" s="3">
        <f t="shared" si="73"/>
        <v>2.4448564924437894</v>
      </c>
    </row>
    <row r="1587" spans="1:41" x14ac:dyDescent="0.3">
      <c r="A1587" s="2">
        <v>0.1369325413030649</v>
      </c>
      <c r="B1587" s="2">
        <v>23.346167822479909</v>
      </c>
      <c r="C1587" s="2">
        <v>32.181292161433348</v>
      </c>
      <c r="AN1587" s="3">
        <f t="shared" si="72"/>
        <v>3.7094261898764729</v>
      </c>
      <c r="AO1587" s="3">
        <f t="shared" si="73"/>
        <v>4.7696119220365114</v>
      </c>
    </row>
    <row r="1588" spans="1:41" x14ac:dyDescent="0.3">
      <c r="A1588" s="2">
        <v>30.04144105482526</v>
      </c>
      <c r="B1588" s="2">
        <v>26.191742100714158</v>
      </c>
      <c r="C1588" s="2">
        <v>28.553855894886269</v>
      </c>
      <c r="AN1588" s="3">
        <f t="shared" si="72"/>
        <v>0.84564063542482892</v>
      </c>
      <c r="AO1588" s="3">
        <f t="shared" si="73"/>
        <v>2.0836695753228613</v>
      </c>
    </row>
    <row r="1589" spans="1:41" x14ac:dyDescent="0.3">
      <c r="A1589" s="2">
        <v>0.45407840874719979</v>
      </c>
      <c r="B1589" s="2">
        <v>26.789142966019639</v>
      </c>
      <c r="C1589" s="2">
        <v>28.126883683534381</v>
      </c>
      <c r="AN1589" s="3">
        <f t="shared" si="72"/>
        <v>2.3012528183577747</v>
      </c>
      <c r="AO1589" s="3">
        <f t="shared" si="73"/>
        <v>3.498636911811754</v>
      </c>
    </row>
    <row r="1590" spans="1:41" x14ac:dyDescent="0.3">
      <c r="A1590" s="2">
        <v>28.810742860059619</v>
      </c>
      <c r="B1590" s="2">
        <v>24.818659869117091</v>
      </c>
      <c r="C1590" s="2">
        <v>25.342053511192969</v>
      </c>
      <c r="AN1590" s="3">
        <f t="shared" si="72"/>
        <v>0.20565773528931305</v>
      </c>
      <c r="AO1590" s="3">
        <f t="shared" si="73"/>
        <v>21.671767157415697</v>
      </c>
    </row>
    <row r="1591" spans="1:41" x14ac:dyDescent="0.3">
      <c r="A1591" s="2">
        <v>2.6782950565803318</v>
      </c>
      <c r="B1591" s="2">
        <v>26.696594851426259</v>
      </c>
      <c r="C1591" s="2">
        <v>32.82500390346712</v>
      </c>
      <c r="AN1591" s="3">
        <f t="shared" si="72"/>
        <v>2.0290291995501906</v>
      </c>
      <c r="AO1591" s="3">
        <f t="shared" si="73"/>
        <v>7.9956376776596105</v>
      </c>
    </row>
    <row r="1592" spans="1:41" x14ac:dyDescent="0.3">
      <c r="A1592" s="2">
        <v>14.3366552182869</v>
      </c>
      <c r="B1592" s="2">
        <v>27.6773544247316</v>
      </c>
      <c r="C1592" s="2">
        <v>21.090559351152638</v>
      </c>
      <c r="AN1592" s="3">
        <f t="shared" si="72"/>
        <v>5.7849847948524813</v>
      </c>
      <c r="AO1592" s="3">
        <f t="shared" si="73"/>
        <v>79.330884762080956</v>
      </c>
    </row>
    <row r="1593" spans="1:41" x14ac:dyDescent="0.3">
      <c r="A1593" s="2">
        <v>4.0604039259228504</v>
      </c>
      <c r="B1593" s="2">
        <v>26.301460246584181</v>
      </c>
      <c r="C1593" s="2">
        <v>37.490835587841737</v>
      </c>
      <c r="AN1593" s="3">
        <f t="shared" si="72"/>
        <v>1.0594695140884109</v>
      </c>
      <c r="AO1593" s="3">
        <f t="shared" si="73"/>
        <v>56.152355617626853</v>
      </c>
    </row>
    <row r="1594" spans="1:41" x14ac:dyDescent="0.3">
      <c r="A1594" s="2">
        <v>0.89934862604438937</v>
      </c>
      <c r="B1594" s="2">
        <v>19.738721128958069</v>
      </c>
      <c r="C1594" s="2">
        <v>31.457107036984429</v>
      </c>
      <c r="AN1594" s="3">
        <f t="shared" si="72"/>
        <v>30.618889203990392</v>
      </c>
      <c r="AO1594" s="3">
        <f t="shared" si="73"/>
        <v>2.1308963269330459</v>
      </c>
    </row>
    <row r="1595" spans="1:41" x14ac:dyDescent="0.3">
      <c r="A1595" s="2">
        <v>10.82111283269032</v>
      </c>
      <c r="B1595" s="2">
        <v>26.474657811898759</v>
      </c>
      <c r="C1595" s="2">
        <v>31.351457133341491</v>
      </c>
      <c r="AN1595" s="3">
        <f t="shared" si="72"/>
        <v>1.4460132736650215</v>
      </c>
      <c r="AO1595" s="3">
        <f t="shared" si="73"/>
        <v>1.833611434495817</v>
      </c>
    </row>
    <row r="1596" spans="1:41" x14ac:dyDescent="0.3">
      <c r="A1596" s="2">
        <v>4.9946773124775792</v>
      </c>
      <c r="B1596" s="2">
        <v>31.073943182406751</v>
      </c>
      <c r="C1596" s="2">
        <v>27.39452765008528</v>
      </c>
      <c r="AN1596" s="3">
        <f t="shared" si="72"/>
        <v>33.660747372972992</v>
      </c>
      <c r="AO1596" s="3">
        <f t="shared" si="73"/>
        <v>6.7746739863351717</v>
      </c>
    </row>
    <row r="1597" spans="1:41" x14ac:dyDescent="0.3">
      <c r="A1597" s="2">
        <v>28.46491497466285</v>
      </c>
      <c r="B1597" s="2">
        <v>19.314582516355308</v>
      </c>
      <c r="C1597" s="2">
        <v>30.082903571473381</v>
      </c>
      <c r="AN1597" s="3">
        <f t="shared" si="72"/>
        <v>35.492668604604219</v>
      </c>
      <c r="AO1597" s="3">
        <f t="shared" si="73"/>
        <v>7.3197488283158491E-3</v>
      </c>
    </row>
    <row r="1598" spans="1:41" x14ac:dyDescent="0.3">
      <c r="A1598" s="2">
        <v>1.831725613428397</v>
      </c>
      <c r="B1598" s="2">
        <v>24.089746614306691</v>
      </c>
      <c r="C1598" s="2">
        <v>32.274475133567712</v>
      </c>
      <c r="AN1598" s="3">
        <f t="shared" si="72"/>
        <v>1.3980893338794</v>
      </c>
      <c r="AO1598" s="3">
        <f t="shared" si="73"/>
        <v>5.1853077966037473</v>
      </c>
    </row>
    <row r="1599" spans="1:41" x14ac:dyDescent="0.3">
      <c r="A1599" s="2">
        <v>15.20748483303065</v>
      </c>
      <c r="B1599" s="2">
        <v>24.50714617702689</v>
      </c>
      <c r="C1599" s="2">
        <v>30.100782640410269</v>
      </c>
      <c r="AN1599" s="3">
        <f t="shared" si="72"/>
        <v>0.58523833315778684</v>
      </c>
      <c r="AO1599" s="3">
        <f t="shared" si="73"/>
        <v>1.069871639594687E-2</v>
      </c>
    </row>
    <row r="1600" spans="1:41" x14ac:dyDescent="0.3">
      <c r="A1600" s="2">
        <v>4.6038196250683239</v>
      </c>
      <c r="B1600" s="2">
        <v>20.44787568740815</v>
      </c>
      <c r="C1600" s="2">
        <v>29.32648518121594</v>
      </c>
      <c r="AN1600" s="3">
        <f t="shared" si="72"/>
        <v>23.273669838642025</v>
      </c>
      <c r="AO1600" s="3">
        <f t="shared" si="73"/>
        <v>0.45005697637312814</v>
      </c>
    </row>
    <row r="1601" spans="1:41" x14ac:dyDescent="0.3">
      <c r="A1601" s="2">
        <v>4.2557852236578846</v>
      </c>
      <c r="B1601" s="2">
        <v>28.99217498201627</v>
      </c>
      <c r="C1601" s="2">
        <v>30.35092082033032</v>
      </c>
      <c r="AN1601" s="3">
        <f t="shared" si="72"/>
        <v>13.83854947414623</v>
      </c>
      <c r="AO1601" s="3">
        <f t="shared" si="73"/>
        <v>0.12501371042277959</v>
      </c>
    </row>
    <row r="1602" spans="1:41" x14ac:dyDescent="0.3">
      <c r="A1602" s="2">
        <v>8.7801351539021795</v>
      </c>
      <c r="B1602" s="2">
        <v>27.744474169167781</v>
      </c>
      <c r="C1602" s="2">
        <v>29.05730378064078</v>
      </c>
      <c r="AN1602" s="3">
        <f t="shared" si="72"/>
        <v>6.1123626109281499</v>
      </c>
      <c r="AO1602" s="3">
        <f t="shared" si="73"/>
        <v>0.88368321106365688</v>
      </c>
    </row>
    <row r="1603" spans="1:41" x14ac:dyDescent="0.3">
      <c r="A1603" s="2">
        <v>14.99708882741945</v>
      </c>
      <c r="B1603" s="2">
        <v>29.202250523573909</v>
      </c>
      <c r="C1603" s="2">
        <v>31.28446643969399</v>
      </c>
      <c r="AN1603" s="3">
        <f t="shared" ref="AN1603:AN1666" si="74">(B1603-$AK$2)^2</f>
        <v>15.445651677565003</v>
      </c>
      <c r="AO1603" s="3">
        <f t="shared" ref="AO1603:AO1666" si="75">(C1603-$AK$3)^2</f>
        <v>1.6566737727640874</v>
      </c>
    </row>
    <row r="1604" spans="1:41" x14ac:dyDescent="0.3">
      <c r="A1604" s="2">
        <v>5.4179834830139271</v>
      </c>
      <c r="B1604" s="2">
        <v>21.589093677488201</v>
      </c>
      <c r="C1604" s="2">
        <v>27.093162674738849</v>
      </c>
      <c r="AN1604" s="3">
        <f t="shared" si="74"/>
        <v>13.564939905859509</v>
      </c>
      <c r="AO1604" s="3">
        <f t="shared" si="75"/>
        <v>8.4342926404603027</v>
      </c>
    </row>
    <row r="1605" spans="1:41" x14ac:dyDescent="0.3">
      <c r="A1605" s="2">
        <v>12.724562697513919</v>
      </c>
      <c r="B1605" s="2">
        <v>25.456198662058419</v>
      </c>
      <c r="C1605" s="2">
        <v>27.501381442701071</v>
      </c>
      <c r="AN1605" s="3">
        <f t="shared" si="74"/>
        <v>3.3872109496279237E-2</v>
      </c>
      <c r="AO1605" s="3">
        <f t="shared" si="75"/>
        <v>6.229849258839776</v>
      </c>
    </row>
    <row r="1606" spans="1:41" x14ac:dyDescent="0.3">
      <c r="A1606" s="2">
        <v>2.689620438549468</v>
      </c>
      <c r="B1606" s="2">
        <v>27.856998529906161</v>
      </c>
      <c r="C1606" s="2">
        <v>39.237437091791541</v>
      </c>
      <c r="AN1606" s="3">
        <f t="shared" si="74"/>
        <v>6.6814166352183335</v>
      </c>
      <c r="AO1606" s="3">
        <f t="shared" si="75"/>
        <v>85.379245670201072</v>
      </c>
    </row>
    <row r="1607" spans="1:41" x14ac:dyDescent="0.3">
      <c r="A1607" s="2">
        <v>2.4077494786664468</v>
      </c>
      <c r="B1607" s="2">
        <v>19.910103115844741</v>
      </c>
      <c r="C1607" s="2">
        <v>18.821226301432681</v>
      </c>
      <c r="AN1607" s="3">
        <f t="shared" si="74"/>
        <v>28.75159924437305</v>
      </c>
      <c r="AO1607" s="3">
        <f t="shared" si="75"/>
        <v>124.90569713322253</v>
      </c>
    </row>
    <row r="1608" spans="1:41" x14ac:dyDescent="0.3">
      <c r="A1608" s="2">
        <v>9.7808833481477482</v>
      </c>
      <c r="B1608" s="2">
        <v>32.513964207001408</v>
      </c>
      <c r="C1608" s="2">
        <v>24.672922733203809</v>
      </c>
      <c r="AN1608" s="3">
        <f t="shared" si="74"/>
        <v>52.443802162670011</v>
      </c>
      <c r="AO1608" s="3">
        <f t="shared" si="75"/>
        <v>28.349504856201161</v>
      </c>
    </row>
    <row r="1609" spans="1:41" x14ac:dyDescent="0.3">
      <c r="A1609" s="2">
        <v>76.914209148489832</v>
      </c>
      <c r="B1609" s="2">
        <v>22.28727490374164</v>
      </c>
      <c r="C1609" s="2">
        <v>28.777336048564131</v>
      </c>
      <c r="AN1609" s="3">
        <f t="shared" si="74"/>
        <v>8.9095085410783845</v>
      </c>
      <c r="AO1609" s="3">
        <f t="shared" si="75"/>
        <v>1.4884292612062928</v>
      </c>
    </row>
    <row r="1610" spans="1:41" x14ac:dyDescent="0.3">
      <c r="A1610" s="2">
        <v>1.1462202208460159</v>
      </c>
      <c r="B1610" s="2">
        <v>20.520039077815351</v>
      </c>
      <c r="C1610" s="2">
        <v>19.02298501995698</v>
      </c>
      <c r="AN1610" s="3">
        <f t="shared" si="74"/>
        <v>22.582604706286492</v>
      </c>
      <c r="AO1610" s="3">
        <f t="shared" si="75"/>
        <v>120.43664371330931</v>
      </c>
    </row>
    <row r="1611" spans="1:41" x14ac:dyDescent="0.3">
      <c r="A1611" s="2">
        <v>8.7043240221057747</v>
      </c>
      <c r="B1611" s="2">
        <v>21.123256416414481</v>
      </c>
      <c r="C1611" s="2">
        <v>35.454201933198718</v>
      </c>
      <c r="AN1611" s="3">
        <f t="shared" si="74"/>
        <v>17.21335855623062</v>
      </c>
      <c r="AO1611" s="3">
        <f t="shared" si="75"/>
        <v>29.777254402955915</v>
      </c>
    </row>
    <row r="1612" spans="1:41" x14ac:dyDescent="0.3">
      <c r="A1612" s="2">
        <v>0.77058374016425635</v>
      </c>
      <c r="B1612" s="2">
        <v>34.998275277001348</v>
      </c>
      <c r="C1612" s="2">
        <v>34.880240125918867</v>
      </c>
      <c r="AN1612" s="3">
        <f t="shared" si="74"/>
        <v>94.597417754053311</v>
      </c>
      <c r="AO1612" s="3">
        <f t="shared" si="75"/>
        <v>23.84263511488863</v>
      </c>
    </row>
    <row r="1613" spans="1:41" x14ac:dyDescent="0.3">
      <c r="A1613" s="2">
        <v>6.6884501572423218</v>
      </c>
      <c r="B1613" s="2">
        <v>30.509646599926452</v>
      </c>
      <c r="C1613" s="2">
        <v>33.015315911100409</v>
      </c>
      <c r="AN1613" s="3">
        <f t="shared" si="74"/>
        <v>27.431319396260399</v>
      </c>
      <c r="AO1613" s="3">
        <f t="shared" si="75"/>
        <v>9.1081300661483731</v>
      </c>
    </row>
    <row r="1614" spans="1:41" x14ac:dyDescent="0.3">
      <c r="A1614" s="2">
        <v>10.41177211440986</v>
      </c>
      <c r="B1614" s="2">
        <v>15.07047613940402</v>
      </c>
      <c r="C1614" s="2">
        <v>36.802399691114772</v>
      </c>
      <c r="AN1614" s="3">
        <f t="shared" si="74"/>
        <v>104.07424936013962</v>
      </c>
      <c r="AO1614" s="3">
        <f t="shared" si="75"/>
        <v>46.308727963412991</v>
      </c>
    </row>
    <row r="1615" spans="1:41" x14ac:dyDescent="0.3">
      <c r="A1615" s="2">
        <v>25.629755902850789</v>
      </c>
      <c r="B1615" s="2">
        <v>25.717218649766512</v>
      </c>
      <c r="C1615" s="2">
        <v>26.925232233191931</v>
      </c>
      <c r="AN1615" s="3">
        <f t="shared" si="74"/>
        <v>0.19808174895839012</v>
      </c>
      <c r="AO1615" s="3">
        <f t="shared" si="75"/>
        <v>9.437895535372899</v>
      </c>
    </row>
    <row r="1616" spans="1:41" x14ac:dyDescent="0.3">
      <c r="A1616" s="2">
        <v>18.194238321080121</v>
      </c>
      <c r="B1616" s="2">
        <v>22.64995914008232</v>
      </c>
      <c r="C1616" s="2">
        <v>31.843744570611449</v>
      </c>
      <c r="AN1616" s="3">
        <f t="shared" si="74"/>
        <v>6.8759105585403688</v>
      </c>
      <c r="AO1616" s="3">
        <f t="shared" si="75"/>
        <v>3.4091801452892305</v>
      </c>
    </row>
    <row r="1617" spans="1:41" x14ac:dyDescent="0.3">
      <c r="A1617" s="2">
        <v>8.3768688611930813</v>
      </c>
      <c r="B1617" s="2">
        <v>20.716027305438601</v>
      </c>
      <c r="C1617" s="2">
        <v>25.48406406748072</v>
      </c>
      <c r="AN1617" s="3">
        <f t="shared" si="74"/>
        <v>20.758298580100337</v>
      </c>
      <c r="AO1617" s="3">
        <f t="shared" si="75"/>
        <v>20.369732223846409</v>
      </c>
    </row>
    <row r="1618" spans="1:41" x14ac:dyDescent="0.3">
      <c r="A1618" s="2">
        <v>10.531576113665491</v>
      </c>
      <c r="B1618" s="2">
        <v>12.89637663108539</v>
      </c>
      <c r="C1618" s="2">
        <v>25.516984426877642</v>
      </c>
      <c r="AN1618" s="3">
        <f t="shared" si="74"/>
        <v>153.15988754994765</v>
      </c>
      <c r="AO1618" s="3">
        <f t="shared" si="75"/>
        <v>20.073658112984965</v>
      </c>
    </row>
    <row r="1619" spans="1:41" x14ac:dyDescent="0.3">
      <c r="A1619" s="2">
        <v>2.8448733922902081</v>
      </c>
      <c r="B1619" s="2">
        <v>39.370334341941472</v>
      </c>
      <c r="C1619" s="2">
        <v>28.51198596717175</v>
      </c>
      <c r="AN1619" s="3">
        <f t="shared" si="74"/>
        <v>198.75866381799304</v>
      </c>
      <c r="AO1619" s="3">
        <f t="shared" si="75"/>
        <v>2.206300489781686</v>
      </c>
    </row>
    <row r="1620" spans="1:41" x14ac:dyDescent="0.3">
      <c r="A1620" s="2">
        <v>1.6376094148080651</v>
      </c>
      <c r="B1620" s="2">
        <v>37.091068012381868</v>
      </c>
      <c r="C1620" s="2">
        <v>28.394330011163969</v>
      </c>
      <c r="AN1620" s="3">
        <f t="shared" si="74"/>
        <v>139.68670735991165</v>
      </c>
      <c r="AO1620" s="3">
        <f t="shared" si="75"/>
        <v>2.569666803347324</v>
      </c>
    </row>
    <row r="1621" spans="1:41" x14ac:dyDescent="0.3">
      <c r="A1621" s="2">
        <v>1.8659185864993659</v>
      </c>
      <c r="B1621" s="2">
        <v>21.10988449958591</v>
      </c>
      <c r="C1621" s="2">
        <v>39.178676223409262</v>
      </c>
      <c r="AN1621" s="3">
        <f t="shared" si="74"/>
        <v>17.324494815067268</v>
      </c>
      <c r="AO1621" s="3">
        <f t="shared" si="75"/>
        <v>84.296787196722732</v>
      </c>
    </row>
    <row r="1622" spans="1:41" x14ac:dyDescent="0.3">
      <c r="A1622" s="2">
        <v>7.4940421240727684</v>
      </c>
      <c r="B1622" s="2">
        <v>18.48642630669335</v>
      </c>
      <c r="C1622" s="2">
        <v>34.822942254437187</v>
      </c>
      <c r="AN1622" s="3">
        <f t="shared" si="74"/>
        <v>46.046112426111996</v>
      </c>
      <c r="AO1622" s="3">
        <f t="shared" si="75"/>
        <v>23.286359514661182</v>
      </c>
    </row>
    <row r="1623" spans="1:41" x14ac:dyDescent="0.3">
      <c r="A1623" s="2">
        <v>3.522242339581521</v>
      </c>
      <c r="B1623" s="2">
        <v>17.270648220304508</v>
      </c>
      <c r="C1623" s="2">
        <v>32.899918179588973</v>
      </c>
      <c r="AN1623" s="3">
        <f t="shared" si="74"/>
        <v>64.024109008537337</v>
      </c>
      <c r="AO1623" s="3">
        <f t="shared" si="75"/>
        <v>8.4249134105728825</v>
      </c>
    </row>
    <row r="1624" spans="1:41" x14ac:dyDescent="0.3">
      <c r="A1624" s="2">
        <v>2.6309444652926368</v>
      </c>
      <c r="B1624" s="2">
        <v>23.689508430226489</v>
      </c>
      <c r="C1624" s="2">
        <v>41.86443512103402</v>
      </c>
      <c r="AN1624" s="3">
        <f t="shared" si="74"/>
        <v>2.5047698212532725</v>
      </c>
      <c r="AO1624" s="3">
        <f t="shared" si="75"/>
        <v>140.82775576978952</v>
      </c>
    </row>
    <row r="1625" spans="1:41" x14ac:dyDescent="0.3">
      <c r="A1625" s="2">
        <v>4.8466676488428204</v>
      </c>
      <c r="B1625" s="2">
        <v>23.57909954065325</v>
      </c>
      <c r="C1625" s="2">
        <v>30.175301505805511</v>
      </c>
      <c r="AN1625" s="3">
        <f t="shared" si="74"/>
        <v>2.8664364208935691</v>
      </c>
      <c r="AO1625" s="3">
        <f t="shared" si="75"/>
        <v>3.1667435706452605E-2</v>
      </c>
    </row>
    <row r="1626" spans="1:41" x14ac:dyDescent="0.3">
      <c r="A1626" s="2">
        <v>7.7609061548699323</v>
      </c>
      <c r="B1626" s="2">
        <v>32.863559339909067</v>
      </c>
      <c r="C1626" s="2">
        <v>32.05029430623172</v>
      </c>
      <c r="AN1626" s="3">
        <f t="shared" si="74"/>
        <v>57.629421499940349</v>
      </c>
      <c r="AO1626" s="3">
        <f t="shared" si="75"/>
        <v>4.2145883687383385</v>
      </c>
    </row>
    <row r="1627" spans="1:41" x14ac:dyDescent="0.3">
      <c r="A1627" s="2">
        <v>13.05808447935034</v>
      </c>
      <c r="B1627" s="2">
        <v>23.648371175463399</v>
      </c>
      <c r="C1627" s="2">
        <v>31.437977886917249</v>
      </c>
      <c r="AN1627" s="3">
        <f t="shared" si="74"/>
        <v>2.6366735563340029</v>
      </c>
      <c r="AO1627" s="3">
        <f t="shared" si="75"/>
        <v>2.0754143535155931</v>
      </c>
    </row>
    <row r="1628" spans="1:41" x14ac:dyDescent="0.3">
      <c r="A1628" s="2">
        <v>25.23751227517559</v>
      </c>
      <c r="B1628" s="2">
        <v>27.53328062840696</v>
      </c>
      <c r="C1628" s="2">
        <v>26.98814745697096</v>
      </c>
      <c r="AN1628" s="3">
        <f t="shared" si="74"/>
        <v>5.1126895982863356</v>
      </c>
      <c r="AO1628" s="3">
        <f t="shared" si="75"/>
        <v>9.0552881537341943</v>
      </c>
    </row>
    <row r="1629" spans="1:41" x14ac:dyDescent="0.3">
      <c r="A1629" s="2">
        <v>29.198811398390831</v>
      </c>
      <c r="B1629" s="2">
        <v>27.312856092779189</v>
      </c>
      <c r="C1629" s="2">
        <v>27.919193413084791</v>
      </c>
      <c r="AN1629" s="3">
        <f t="shared" si="74"/>
        <v>4.1644613930677501</v>
      </c>
      <c r="AO1629" s="3">
        <f t="shared" si="75"/>
        <v>4.3187266567059899</v>
      </c>
    </row>
    <row r="1630" spans="1:41" x14ac:dyDescent="0.3">
      <c r="A1630" s="2">
        <v>9.3161147240523103</v>
      </c>
      <c r="B1630" s="2">
        <v>30.14403815574606</v>
      </c>
      <c r="C1630" s="2">
        <v>35.652660214725188</v>
      </c>
      <c r="AN1630" s="3">
        <f t="shared" si="74"/>
        <v>23.735246540835771</v>
      </c>
      <c r="AO1630" s="3">
        <f t="shared" si="75"/>
        <v>31.982555784514183</v>
      </c>
    </row>
    <row r="1631" spans="1:41" x14ac:dyDescent="0.3">
      <c r="A1631" s="2">
        <v>39.561837184038502</v>
      </c>
      <c r="B1631" s="2">
        <v>21.343442256431441</v>
      </c>
      <c r="C1631" s="2">
        <v>22.18669922508656</v>
      </c>
      <c r="AN1631" s="3">
        <f t="shared" si="74"/>
        <v>15.434782968628866</v>
      </c>
      <c r="AO1631" s="3">
        <f t="shared" si="75"/>
        <v>61.006234922450304</v>
      </c>
    </row>
    <row r="1632" spans="1:41" x14ac:dyDescent="0.3">
      <c r="A1632" s="2">
        <v>17.414882618630191</v>
      </c>
      <c r="B1632" s="2">
        <v>23.0016495024995</v>
      </c>
      <c r="C1632" s="2">
        <v>24.154183416356059</v>
      </c>
      <c r="AN1632" s="3">
        <f t="shared" si="74"/>
        <v>5.1551947212962563</v>
      </c>
      <c r="AO1632" s="3">
        <f t="shared" si="75"/>
        <v>34.142572828386427</v>
      </c>
    </row>
    <row r="1633" spans="1:41" x14ac:dyDescent="0.3">
      <c r="A1633" s="2">
        <v>2.1558103271416651</v>
      </c>
      <c r="B1633" s="2">
        <v>31.103529403406469</v>
      </c>
      <c r="C1633" s="2">
        <v>27.31639232310394</v>
      </c>
      <c r="AN1633" s="3">
        <f t="shared" si="74"/>
        <v>34.004928698585118</v>
      </c>
      <c r="AO1633" s="3">
        <f t="shared" si="75"/>
        <v>7.1875235602624823</v>
      </c>
    </row>
    <row r="1634" spans="1:41" x14ac:dyDescent="0.3">
      <c r="A1634" s="2">
        <v>22.015855171527431</v>
      </c>
      <c r="B1634" s="2">
        <v>17.200832565028591</v>
      </c>
      <c r="C1634" s="2">
        <v>41.72714186241739</v>
      </c>
      <c r="AN1634" s="3">
        <f t="shared" si="74"/>
        <v>65.146244097141548</v>
      </c>
      <c r="AO1634" s="3">
        <f t="shared" si="75"/>
        <v>137.5880630975866</v>
      </c>
    </row>
    <row r="1635" spans="1:41" x14ac:dyDescent="0.3">
      <c r="A1635" s="2">
        <v>22.378870265755751</v>
      </c>
      <c r="B1635" s="2">
        <v>31.31810558764079</v>
      </c>
      <c r="C1635" s="2">
        <v>21.857051607241111</v>
      </c>
      <c r="AN1635" s="3">
        <f t="shared" si="74"/>
        <v>36.55351982065541</v>
      </c>
      <c r="AO1635" s="3">
        <f t="shared" si="75"/>
        <v>66.264426026257993</v>
      </c>
    </row>
    <row r="1636" spans="1:41" x14ac:dyDescent="0.3">
      <c r="A1636" s="2">
        <v>14.60995248830338</v>
      </c>
      <c r="B1636" s="2">
        <v>28.36459220650092</v>
      </c>
      <c r="C1636" s="2">
        <v>30.371930233187008</v>
      </c>
      <c r="AN1636" s="3">
        <f t="shared" si="74"/>
        <v>9.5631685474607782</v>
      </c>
      <c r="AO1636" s="3">
        <f t="shared" si="75"/>
        <v>0.14031181885132146</v>
      </c>
    </row>
    <row r="1637" spans="1:41" x14ac:dyDescent="0.3">
      <c r="A1637" s="2">
        <v>3.2754799963779728</v>
      </c>
      <c r="B1637" s="2">
        <v>35.32074685195866</v>
      </c>
      <c r="C1637" s="2">
        <v>30.78759845525321</v>
      </c>
      <c r="AN1637" s="3">
        <f t="shared" si="74"/>
        <v>100.97420038860898</v>
      </c>
      <c r="AO1637" s="3">
        <f t="shared" si="75"/>
        <v>0.62449571753896393</v>
      </c>
    </row>
    <row r="1638" spans="1:41" x14ac:dyDescent="0.3">
      <c r="A1638" s="2">
        <v>0.2394710348598417</v>
      </c>
      <c r="B1638" s="2">
        <v>28.713127675903049</v>
      </c>
      <c r="C1638" s="2">
        <v>32.582262422095177</v>
      </c>
      <c r="AN1638" s="3">
        <f t="shared" si="74"/>
        <v>11.840293703281409</v>
      </c>
      <c r="AO1638" s="3">
        <f t="shared" si="75"/>
        <v>6.6817823586118843</v>
      </c>
    </row>
    <row r="1639" spans="1:41" x14ac:dyDescent="0.3">
      <c r="A1639" s="2">
        <v>4.0703381571061676</v>
      </c>
      <c r="B1639" s="2">
        <v>24.631088112360619</v>
      </c>
      <c r="C1639" s="2">
        <v>30.746066257030471</v>
      </c>
      <c r="AN1639" s="3">
        <f t="shared" si="74"/>
        <v>0.4109666152641735</v>
      </c>
      <c r="AO1639" s="3">
        <f t="shared" si="75"/>
        <v>0.56057896731106782</v>
      </c>
    </row>
    <row r="1640" spans="1:41" x14ac:dyDescent="0.3">
      <c r="A1640" s="2">
        <v>1.00759816102809</v>
      </c>
      <c r="B1640" s="2">
        <v>20.826894981809751</v>
      </c>
      <c r="C1640" s="2">
        <v>30.62114643286279</v>
      </c>
      <c r="AN1640" s="3">
        <f t="shared" si="74"/>
        <v>19.760335664339014</v>
      </c>
      <c r="AO1640" s="3">
        <f t="shared" si="75"/>
        <v>0.38912443393656543</v>
      </c>
    </row>
    <row r="1641" spans="1:41" x14ac:dyDescent="0.3">
      <c r="A1641" s="2">
        <v>5.9570885962051729</v>
      </c>
      <c r="B1641" s="2">
        <v>27.838307459339621</v>
      </c>
      <c r="C1641" s="2">
        <v>32.105047141392831</v>
      </c>
      <c r="AN1641" s="3">
        <f t="shared" si="74"/>
        <v>6.5851390016379003</v>
      </c>
      <c r="AO1641" s="3">
        <f t="shared" si="75"/>
        <v>4.4423954986278078</v>
      </c>
    </row>
    <row r="1642" spans="1:41" x14ac:dyDescent="0.3">
      <c r="A1642" s="2">
        <v>5.2218604182404738</v>
      </c>
      <c r="B1642" s="2">
        <v>27.191330768898041</v>
      </c>
      <c r="C1642" s="2">
        <v>37.995469189721</v>
      </c>
      <c r="AN1642" s="3">
        <f t="shared" si="74"/>
        <v>3.6832360485421147</v>
      </c>
      <c r="AO1642" s="3">
        <f t="shared" si="75"/>
        <v>63.969941912771759</v>
      </c>
    </row>
    <row r="1643" spans="1:41" x14ac:dyDescent="0.3">
      <c r="A1643" s="2">
        <v>12.536746389730309</v>
      </c>
      <c r="B1643" s="2">
        <v>34.403118673652031</v>
      </c>
      <c r="C1643" s="2">
        <v>31.000173306569089</v>
      </c>
      <c r="AN1643" s="3">
        <f t="shared" si="74"/>
        <v>83.374499591712308</v>
      </c>
      <c r="AO1643" s="3">
        <f t="shared" si="75"/>
        <v>1.0056585136591241</v>
      </c>
    </row>
    <row r="1644" spans="1:41" x14ac:dyDescent="0.3">
      <c r="A1644" s="2">
        <v>9.468970975814786</v>
      </c>
      <c r="B1644" s="2">
        <v>25.795006382693099</v>
      </c>
      <c r="C1644" s="2">
        <v>34.80382337124302</v>
      </c>
      <c r="AN1644" s="3">
        <f t="shared" si="74"/>
        <v>0.27337368188523153</v>
      </c>
      <c r="AO1644" s="3">
        <f t="shared" si="75"/>
        <v>23.102205102129926</v>
      </c>
    </row>
    <row r="1645" spans="1:41" x14ac:dyDescent="0.3">
      <c r="A1645" s="2">
        <v>17.745224855285439</v>
      </c>
      <c r="B1645" s="2">
        <v>26.097478312555332</v>
      </c>
      <c r="C1645" s="2">
        <v>31.978357635158979</v>
      </c>
      <c r="AN1645" s="3">
        <f t="shared" si="74"/>
        <v>0.68115874940937937</v>
      </c>
      <c r="AO1645" s="3">
        <f t="shared" si="75"/>
        <v>3.9243990129310276</v>
      </c>
    </row>
    <row r="1646" spans="1:41" x14ac:dyDescent="0.3">
      <c r="A1646" s="2">
        <v>21.292901398534891</v>
      </c>
      <c r="B1646" s="2">
        <v>34.916751756327983</v>
      </c>
      <c r="C1646" s="2">
        <v>32.107057538764067</v>
      </c>
      <c r="AN1646" s="3">
        <f t="shared" si="74"/>
        <v>93.01824868583158</v>
      </c>
      <c r="AO1646" s="3">
        <f t="shared" si="75"/>
        <v>4.4508741657877655</v>
      </c>
    </row>
    <row r="1647" spans="1:41" x14ac:dyDescent="0.3">
      <c r="A1647" s="2">
        <v>2.4898181606896199</v>
      </c>
      <c r="B1647" s="2">
        <v>23.379587737922659</v>
      </c>
      <c r="C1647" s="2">
        <v>24.03407882010471</v>
      </c>
      <c r="AN1647" s="3">
        <f t="shared" si="74"/>
        <v>3.581810430646422</v>
      </c>
      <c r="AO1647" s="3">
        <f t="shared" si="75"/>
        <v>35.560579798525815</v>
      </c>
    </row>
    <row r="1648" spans="1:41" x14ac:dyDescent="0.3">
      <c r="A1648" s="2">
        <v>54.53654963103758</v>
      </c>
      <c r="B1648" s="2">
        <v>28.982555160567721</v>
      </c>
      <c r="C1648" s="2">
        <v>27.667644756906391</v>
      </c>
      <c r="AN1648" s="3">
        <f t="shared" si="74"/>
        <v>13.767070156998589</v>
      </c>
      <c r="AO1648" s="3">
        <f t="shared" si="75"/>
        <v>5.4275173909979513</v>
      </c>
    </row>
    <row r="1649" spans="1:41" x14ac:dyDescent="0.3">
      <c r="A1649" s="2">
        <v>9.7308218771549164</v>
      </c>
      <c r="B1649" s="2">
        <v>23.896345967942469</v>
      </c>
      <c r="C1649" s="2">
        <v>30.286007357492981</v>
      </c>
      <c r="AN1649" s="3">
        <f t="shared" si="74"/>
        <v>1.8928501940290037</v>
      </c>
      <c r="AO1649" s="3">
        <f t="shared" si="75"/>
        <v>8.3324201112012317E-2</v>
      </c>
    </row>
    <row r="1650" spans="1:41" x14ac:dyDescent="0.3">
      <c r="A1650" s="2">
        <v>10.576360843255911</v>
      </c>
      <c r="B1650" s="2">
        <v>20.229830346624741</v>
      </c>
      <c r="C1650" s="2">
        <v>25.931668485202469</v>
      </c>
      <c r="AN1650" s="3">
        <f t="shared" si="74"/>
        <v>25.425036815442741</v>
      </c>
      <c r="AO1650" s="3">
        <f t="shared" si="75"/>
        <v>16.529750248826925</v>
      </c>
    </row>
    <row r="1651" spans="1:41" x14ac:dyDescent="0.3">
      <c r="A1651" s="2">
        <v>0.73459907249415857</v>
      </c>
      <c r="B1651" s="2">
        <v>32.962512284074712</v>
      </c>
      <c r="C1651" s="2">
        <v>25.90264933968432</v>
      </c>
      <c r="AN1651" s="3">
        <f t="shared" si="74"/>
        <v>59.141596826151932</v>
      </c>
      <c r="AO1651" s="3">
        <f t="shared" si="75"/>
        <v>16.76655745294179</v>
      </c>
    </row>
    <row r="1652" spans="1:41" x14ac:dyDescent="0.3">
      <c r="A1652" s="2">
        <v>9.2132053204549855</v>
      </c>
      <c r="B1652" s="2">
        <v>24.980246343440399</v>
      </c>
      <c r="C1652" s="2">
        <v>24.59918854668809</v>
      </c>
      <c r="AN1652" s="3">
        <f t="shared" si="74"/>
        <v>8.5210600406601417E-2</v>
      </c>
      <c r="AO1652" s="3">
        <f t="shared" si="75"/>
        <v>29.140125923901333</v>
      </c>
    </row>
    <row r="1653" spans="1:41" x14ac:dyDescent="0.3">
      <c r="A1653" s="2">
        <v>2.0930152075711259</v>
      </c>
      <c r="B1653" s="2">
        <v>30.253643143442659</v>
      </c>
      <c r="C1653" s="2">
        <v>26.948734362909779</v>
      </c>
      <c r="AN1653" s="3">
        <f t="shared" si="74"/>
        <v>24.815225204646541</v>
      </c>
      <c r="AO1653" s="3">
        <f t="shared" si="75"/>
        <v>9.2940453570367279</v>
      </c>
    </row>
    <row r="1654" spans="1:41" x14ac:dyDescent="0.3">
      <c r="A1654" s="2">
        <v>13.877238325099251</v>
      </c>
      <c r="B1654" s="2">
        <v>28.322039108865329</v>
      </c>
      <c r="C1654" s="2">
        <v>23.256676281327181</v>
      </c>
      <c r="AN1654" s="3">
        <f t="shared" si="74"/>
        <v>9.3017937395813615</v>
      </c>
      <c r="AO1654" s="3">
        <f t="shared" si="75"/>
        <v>45.436655768992836</v>
      </c>
    </row>
    <row r="1655" spans="1:41" x14ac:dyDescent="0.3">
      <c r="A1655" s="2">
        <v>37.497256581504757</v>
      </c>
      <c r="B1655" s="2">
        <v>18.302640210585391</v>
      </c>
      <c r="C1655" s="2">
        <v>23.279786909856881</v>
      </c>
      <c r="AN1655" s="3">
        <f t="shared" si="74"/>
        <v>48.574134886919289</v>
      </c>
      <c r="AO1655" s="3">
        <f t="shared" si="75"/>
        <v>45.125627547996103</v>
      </c>
    </row>
    <row r="1656" spans="1:41" x14ac:dyDescent="0.3">
      <c r="A1656" s="2">
        <v>5.1568994507823307</v>
      </c>
      <c r="B1656" s="2">
        <v>31.946270418263239</v>
      </c>
      <c r="C1656" s="2">
        <v>25.45728172168635</v>
      </c>
      <c r="AN1656" s="3">
        <f t="shared" si="74"/>
        <v>44.543818065123176</v>
      </c>
      <c r="AO1656" s="3">
        <f t="shared" si="75"/>
        <v>20.612202181976059</v>
      </c>
    </row>
    <row r="1657" spans="1:41" x14ac:dyDescent="0.3">
      <c r="A1657" s="2">
        <v>4.6262893474311353</v>
      </c>
      <c r="B1657" s="2">
        <v>20.25336709328494</v>
      </c>
      <c r="C1657" s="2">
        <v>28.52516990163592</v>
      </c>
      <c r="AN1657" s="3">
        <f t="shared" si="74"/>
        <v>25.188230963105536</v>
      </c>
      <c r="AO1657" s="3">
        <f t="shared" si="75"/>
        <v>2.1673084734410097</v>
      </c>
    </row>
    <row r="1658" spans="1:41" x14ac:dyDescent="0.3">
      <c r="A1658" s="2">
        <v>11.184407161884231</v>
      </c>
      <c r="B1658" s="2">
        <v>25.017515716203761</v>
      </c>
      <c r="C1658" s="2">
        <v>23.96854300145953</v>
      </c>
      <c r="AN1658" s="3">
        <f t="shared" si="74"/>
        <v>6.484110957490706E-2</v>
      </c>
      <c r="AO1658" s="3">
        <f t="shared" si="75"/>
        <v>36.346490202411431</v>
      </c>
    </row>
    <row r="1659" spans="1:41" x14ac:dyDescent="0.3">
      <c r="A1659" s="2">
        <v>17.294592046107919</v>
      </c>
      <c r="B1659" s="2">
        <v>25.25100481180861</v>
      </c>
      <c r="C1659" s="2">
        <v>22.655702567580001</v>
      </c>
      <c r="AN1659" s="3">
        <f t="shared" si="74"/>
        <v>4.4732586923767147E-4</v>
      </c>
      <c r="AO1659" s="3">
        <f t="shared" si="75"/>
        <v>53.899758254493577</v>
      </c>
    </row>
    <row r="1660" spans="1:41" x14ac:dyDescent="0.3">
      <c r="A1660" s="2">
        <v>8.0015514246214146</v>
      </c>
      <c r="B1660" s="2">
        <v>28.089307183051051</v>
      </c>
      <c r="C1660" s="2">
        <v>25.17922927945903</v>
      </c>
      <c r="AN1660" s="3">
        <f t="shared" si="74"/>
        <v>7.9363470340197075</v>
      </c>
      <c r="AO1660" s="3">
        <f t="shared" si="75"/>
        <v>23.214268398413324</v>
      </c>
    </row>
    <row r="1661" spans="1:41" x14ac:dyDescent="0.3">
      <c r="A1661" s="2">
        <v>3.114446280228488</v>
      </c>
      <c r="B1661" s="2">
        <v>18.116377502841861</v>
      </c>
      <c r="C1661" s="2">
        <v>32.388399219153357</v>
      </c>
      <c r="AN1661" s="3">
        <f t="shared" si="74"/>
        <v>51.205150035451034</v>
      </c>
      <c r="AO1661" s="3">
        <f t="shared" si="75"/>
        <v>5.7171257374913385</v>
      </c>
    </row>
    <row r="1662" spans="1:41" x14ac:dyDescent="0.3">
      <c r="A1662" s="2">
        <v>7.6508777138780184</v>
      </c>
      <c r="B1662" s="2">
        <v>20.532850266049781</v>
      </c>
      <c r="C1662" s="2">
        <v>32.705943900822767</v>
      </c>
      <c r="AN1662" s="3">
        <f t="shared" si="74"/>
        <v>22.461008332429657</v>
      </c>
      <c r="AO1662" s="3">
        <f t="shared" si="75"/>
        <v>7.3364915329170266</v>
      </c>
    </row>
    <row r="1663" spans="1:41" x14ac:dyDescent="0.3">
      <c r="A1663" s="2">
        <v>29.412113883571529</v>
      </c>
      <c r="B1663" s="2">
        <v>24.772432403878689</v>
      </c>
      <c r="C1663" s="2">
        <v>34.425758899857342</v>
      </c>
      <c r="AN1663" s="3">
        <f t="shared" si="74"/>
        <v>0.24972256459392236</v>
      </c>
      <c r="AO1663" s="3">
        <f t="shared" si="75"/>
        <v>19.610822736591736</v>
      </c>
    </row>
    <row r="1664" spans="1:41" x14ac:dyDescent="0.3">
      <c r="A1664" s="2">
        <v>9.2574372166317005</v>
      </c>
      <c r="B1664" s="2">
        <v>23.391898681111769</v>
      </c>
      <c r="C1664" s="2">
        <v>23.888074336552879</v>
      </c>
      <c r="AN1664" s="3">
        <f t="shared" si="74"/>
        <v>3.5353634165510921</v>
      </c>
      <c r="AO1664" s="3">
        <f t="shared" si="75"/>
        <v>37.323225193440173</v>
      </c>
    </row>
    <row r="1665" spans="1:41" x14ac:dyDescent="0.3">
      <c r="A1665" s="2">
        <v>18.235615772986819</v>
      </c>
      <c r="B1665" s="2">
        <v>32.640631816446863</v>
      </c>
      <c r="C1665" s="2">
        <v>30.378902601464361</v>
      </c>
      <c r="AN1665" s="3">
        <f t="shared" si="74"/>
        <v>54.294452194071688</v>
      </c>
      <c r="AO1665" s="3">
        <f t="shared" si="75"/>
        <v>0.14558388276159762</v>
      </c>
    </row>
    <row r="1666" spans="1:41" x14ac:dyDescent="0.3">
      <c r="A1666" s="2">
        <v>29.795820625974368</v>
      </c>
      <c r="B1666" s="2">
        <v>26.670548927090842</v>
      </c>
      <c r="C1666" s="2">
        <v>29.71324699869696</v>
      </c>
      <c r="AN1666" s="3">
        <f t="shared" si="74"/>
        <v>1.955505878889398</v>
      </c>
      <c r="AO1666" s="3">
        <f t="shared" si="75"/>
        <v>8.0713402125653713E-2</v>
      </c>
    </row>
    <row r="1667" spans="1:41" x14ac:dyDescent="0.3">
      <c r="A1667" s="2">
        <v>1.3913712985042119</v>
      </c>
      <c r="B1667" s="2">
        <v>18.93546357777058</v>
      </c>
      <c r="C1667" s="2">
        <v>21.962916856101248</v>
      </c>
      <c r="AN1667" s="3">
        <f t="shared" ref="AN1667:AN1730" si="76">(B1667-$AK$2)^2</f>
        <v>40.153656804980209</v>
      </c>
      <c r="AO1667" s="3">
        <f t="shared" ref="AO1667:AO1730" si="77">(C1667-$AK$3)^2</f>
        <v>64.552084461705604</v>
      </c>
    </row>
    <row r="1668" spans="1:41" x14ac:dyDescent="0.3">
      <c r="A1668" s="2">
        <v>10.84215439508572</v>
      </c>
      <c r="B1668" s="2">
        <v>22.046307460558118</v>
      </c>
      <c r="C1668" s="2">
        <v>35.986518270930752</v>
      </c>
      <c r="AN1668" s="3">
        <f t="shared" si="76"/>
        <v>10.40609164745284</v>
      </c>
      <c r="AO1668" s="3">
        <f t="shared" si="77"/>
        <v>35.870160045450291</v>
      </c>
    </row>
    <row r="1669" spans="1:41" x14ac:dyDescent="0.3">
      <c r="A1669" s="2">
        <v>8.195428404875166</v>
      </c>
      <c r="B1669" s="2">
        <v>23.661847300583581</v>
      </c>
      <c r="C1669" s="2">
        <v>30.72542547920699</v>
      </c>
      <c r="AN1669" s="3">
        <f t="shared" si="76"/>
        <v>2.5930905372325048</v>
      </c>
      <c r="AO1669" s="3">
        <f t="shared" si="77"/>
        <v>0.53009675631313224</v>
      </c>
    </row>
    <row r="1670" spans="1:41" x14ac:dyDescent="0.3">
      <c r="A1670" s="2">
        <v>11.643320693477889</v>
      </c>
      <c r="B1670" s="2">
        <v>23.063382697423801</v>
      </c>
      <c r="C1670" s="2">
        <v>32.330059081821432</v>
      </c>
      <c r="AN1670" s="3">
        <f t="shared" si="76"/>
        <v>4.8786746051451351</v>
      </c>
      <c r="AO1670" s="3">
        <f t="shared" si="77"/>
        <v>5.4415408008899888</v>
      </c>
    </row>
    <row r="1671" spans="1:41" x14ac:dyDescent="0.3">
      <c r="A1671" s="2">
        <v>10.9397454345611</v>
      </c>
      <c r="B1671" s="2">
        <v>18.03967221671514</v>
      </c>
      <c r="C1671" s="2">
        <v>22.87450111968106</v>
      </c>
      <c r="AN1671" s="3">
        <f t="shared" si="76"/>
        <v>52.308805640476884</v>
      </c>
      <c r="AO1671" s="3">
        <f t="shared" si="77"/>
        <v>50.734948261734182</v>
      </c>
    </row>
    <row r="1672" spans="1:41" x14ac:dyDescent="0.3">
      <c r="A1672" s="2">
        <v>2.2007111131569652</v>
      </c>
      <c r="B1672" s="2">
        <v>16.38890170350756</v>
      </c>
      <c r="C1672" s="2">
        <v>22.62195977379017</v>
      </c>
      <c r="AN1672" s="3">
        <f t="shared" si="76"/>
        <v>78.912187201257737</v>
      </c>
      <c r="AO1672" s="3">
        <f t="shared" si="77"/>
        <v>54.396352089188326</v>
      </c>
    </row>
    <row r="1673" spans="1:41" x14ac:dyDescent="0.3">
      <c r="A1673" s="2">
        <v>12.349732165761271</v>
      </c>
      <c r="B1673" s="2">
        <v>21.746144051722261</v>
      </c>
      <c r="C1673" s="2">
        <v>20.313895794627559</v>
      </c>
      <c r="AN1673" s="3">
        <f t="shared" si="76"/>
        <v>12.432752441944285</v>
      </c>
      <c r="AO1673" s="3">
        <f t="shared" si="77"/>
        <v>93.769247403957323</v>
      </c>
    </row>
    <row r="1674" spans="1:41" x14ac:dyDescent="0.3">
      <c r="A1674" s="2">
        <v>21.783932663907368</v>
      </c>
      <c r="B1674" s="2">
        <v>24.677388408901042</v>
      </c>
      <c r="C1674" s="2">
        <v>27.508050783803132</v>
      </c>
      <c r="AN1674" s="3">
        <f t="shared" si="76"/>
        <v>0.35374716877492351</v>
      </c>
      <c r="AO1674" s="3">
        <f t="shared" si="77"/>
        <v>6.196600833706329</v>
      </c>
    </row>
    <row r="1675" spans="1:41" x14ac:dyDescent="0.3">
      <c r="A1675" s="2">
        <v>13.881731140183399</v>
      </c>
      <c r="B1675" s="2">
        <v>22.957233854749749</v>
      </c>
      <c r="C1675" s="2">
        <v>37.013097297299183</v>
      </c>
      <c r="AN1675" s="3">
        <f t="shared" si="76"/>
        <v>5.3588594062012032</v>
      </c>
      <c r="AO1675" s="3">
        <f t="shared" si="77"/>
        <v>49.220737630028829</v>
      </c>
    </row>
    <row r="1676" spans="1:41" x14ac:dyDescent="0.3">
      <c r="A1676" s="2">
        <v>12.893278858522679</v>
      </c>
      <c r="B1676" s="2">
        <v>24.04507758467529</v>
      </c>
      <c r="C1676" s="2">
        <v>33.757485357113872</v>
      </c>
      <c r="AN1676" s="3">
        <f t="shared" si="76"/>
        <v>1.5057187168247117</v>
      </c>
      <c r="AO1676" s="3">
        <f t="shared" si="77"/>
        <v>14.138632637514641</v>
      </c>
    </row>
    <row r="1677" spans="1:41" x14ac:dyDescent="0.3">
      <c r="A1677" s="2">
        <v>4.9783596858859314</v>
      </c>
      <c r="B1677" s="2">
        <v>26.850927765524631</v>
      </c>
      <c r="C1677" s="2">
        <v>32.833813406612187</v>
      </c>
      <c r="AN1677" s="3">
        <f t="shared" si="76"/>
        <v>2.492523787883973</v>
      </c>
      <c r="AO1677" s="3">
        <f t="shared" si="77"/>
        <v>8.0455357714358868</v>
      </c>
    </row>
    <row r="1678" spans="1:41" x14ac:dyDescent="0.3">
      <c r="A1678" s="2">
        <v>6.7112209133164491</v>
      </c>
      <c r="B1678" s="2">
        <v>23.767136611115649</v>
      </c>
      <c r="C1678" s="2">
        <v>33.626394619832922</v>
      </c>
      <c r="AN1678" s="3">
        <f t="shared" si="76"/>
        <v>2.2650800241690661</v>
      </c>
      <c r="AO1678" s="3">
        <f t="shared" si="77"/>
        <v>13.169979072769859</v>
      </c>
    </row>
    <row r="1679" spans="1:41" x14ac:dyDescent="0.3">
      <c r="A1679" s="2">
        <v>3.284600502036747</v>
      </c>
      <c r="B1679" s="2">
        <v>22.311131185609991</v>
      </c>
      <c r="C1679" s="2">
        <v>34.810182589680188</v>
      </c>
      <c r="AN1679" s="3">
        <f t="shared" si="76"/>
        <v>8.7676613866025725</v>
      </c>
      <c r="AO1679" s="3">
        <f t="shared" si="77"/>
        <v>23.163376394867321</v>
      </c>
    </row>
    <row r="1680" spans="1:41" x14ac:dyDescent="0.3">
      <c r="A1680" s="2">
        <v>3.2862680509758362</v>
      </c>
      <c r="B1680" s="2">
        <v>24.744258463675411</v>
      </c>
      <c r="C1680" s="2">
        <v>23.124174048864191</v>
      </c>
      <c r="AN1680" s="3">
        <f t="shared" si="76"/>
        <v>0.27867463846716833</v>
      </c>
      <c r="AO1680" s="3">
        <f t="shared" si="77"/>
        <v>47.240520723462019</v>
      </c>
    </row>
    <row r="1681" spans="1:41" x14ac:dyDescent="0.3">
      <c r="A1681" s="2">
        <v>54.398617201689817</v>
      </c>
      <c r="B1681" s="2">
        <v>16.377631976242011</v>
      </c>
      <c r="C1681" s="2">
        <v>29.498780140227691</v>
      </c>
      <c r="AN1681" s="3">
        <f t="shared" si="76"/>
        <v>79.112537889328465</v>
      </c>
      <c r="AO1681" s="3">
        <f t="shared" si="77"/>
        <v>0.24856995148392327</v>
      </c>
    </row>
    <row r="1682" spans="1:41" x14ac:dyDescent="0.3">
      <c r="A1682" s="2">
        <v>5.7738587649876134</v>
      </c>
      <c r="B1682" s="2">
        <v>27.58301601225466</v>
      </c>
      <c r="C1682" s="2">
        <v>25.730980260158479</v>
      </c>
      <c r="AN1682" s="3">
        <f t="shared" si="76"/>
        <v>5.3400791196028097</v>
      </c>
      <c r="AO1682" s="3">
        <f t="shared" si="77"/>
        <v>18.201894039720393</v>
      </c>
    </row>
    <row r="1683" spans="1:41" x14ac:dyDescent="0.3">
      <c r="A1683" s="2">
        <v>36.505875758293548</v>
      </c>
      <c r="B1683" s="2">
        <v>25.946856803102541</v>
      </c>
      <c r="C1683" s="2">
        <v>31.228965935241469</v>
      </c>
      <c r="AN1683" s="3">
        <f t="shared" si="76"/>
        <v>0.45522266957481683</v>
      </c>
      <c r="AO1683" s="3">
        <f t="shared" si="77"/>
        <v>1.5168826379014133</v>
      </c>
    </row>
    <row r="1684" spans="1:41" x14ac:dyDescent="0.3">
      <c r="A1684" s="2">
        <v>0.70728236492661034</v>
      </c>
      <c r="B1684" s="2">
        <v>25.0377330260512</v>
      </c>
      <c r="C1684" s="2">
        <v>26.352470720062641</v>
      </c>
      <c r="AN1684" s="3">
        <f t="shared" si="76"/>
        <v>5.4953610981492498E-2</v>
      </c>
      <c r="AO1684" s="3">
        <f t="shared" si="77"/>
        <v>13.285130683246335</v>
      </c>
    </row>
    <row r="1685" spans="1:41" x14ac:dyDescent="0.3">
      <c r="A1685" s="2">
        <v>7.1710003941224834</v>
      </c>
      <c r="B1685" s="2">
        <v>18.592193044158279</v>
      </c>
      <c r="C1685" s="2">
        <v>28.60436596379558</v>
      </c>
      <c r="AN1685" s="3">
        <f t="shared" si="76"/>
        <v>44.621890281399523</v>
      </c>
      <c r="AO1685" s="3">
        <f t="shared" si="77"/>
        <v>1.9403990668634923</v>
      </c>
    </row>
    <row r="1686" spans="1:41" x14ac:dyDescent="0.3">
      <c r="A1686" s="2">
        <v>27.635890770622229</v>
      </c>
      <c r="B1686" s="2">
        <v>33.326200587433533</v>
      </c>
      <c r="C1686" s="2">
        <v>32.757394629301189</v>
      </c>
      <c r="AN1686" s="3">
        <f t="shared" si="76"/>
        <v>64.867652072838354</v>
      </c>
      <c r="AO1686" s="3">
        <f t="shared" si="77"/>
        <v>7.617857170681309</v>
      </c>
    </row>
    <row r="1687" spans="1:41" x14ac:dyDescent="0.3">
      <c r="A1687" s="2">
        <v>26.411402038108541</v>
      </c>
      <c r="B1687" s="2">
        <v>19.72907751515697</v>
      </c>
      <c r="C1687" s="2">
        <v>31.920227901122601</v>
      </c>
      <c r="AN1687" s="3">
        <f t="shared" si="76"/>
        <v>30.725706799676594</v>
      </c>
      <c r="AO1687" s="3">
        <f t="shared" si="77"/>
        <v>3.6974669572233001</v>
      </c>
    </row>
    <row r="1688" spans="1:41" x14ac:dyDescent="0.3">
      <c r="A1688" s="2">
        <v>3.6811624183434999</v>
      </c>
      <c r="B1688" s="2">
        <v>35.519301560710929</v>
      </c>
      <c r="C1688" s="2">
        <v>31.832419831917431</v>
      </c>
      <c r="AN1688" s="3">
        <f t="shared" si="76"/>
        <v>105.00401486115129</v>
      </c>
      <c r="AO1688" s="3">
        <f t="shared" si="77"/>
        <v>3.3674884785444701</v>
      </c>
    </row>
    <row r="1689" spans="1:41" x14ac:dyDescent="0.3">
      <c r="A1689" s="2">
        <v>10.22892416508391</v>
      </c>
      <c r="B1689" s="2">
        <v>25.29209299490098</v>
      </c>
      <c r="C1689" s="2">
        <v>24.367551509469209</v>
      </c>
      <c r="AN1689" s="3">
        <f t="shared" si="76"/>
        <v>3.9752796884439859E-4</v>
      </c>
      <c r="AO1689" s="3">
        <f t="shared" si="77"/>
        <v>31.694608984216316</v>
      </c>
    </row>
    <row r="1690" spans="1:41" x14ac:dyDescent="0.3">
      <c r="A1690" s="2">
        <v>13.67049793704064</v>
      </c>
      <c r="B1690" s="2">
        <v>25.587533744623169</v>
      </c>
      <c r="C1690" s="2">
        <v>28.923420827143669</v>
      </c>
      <c r="AN1690" s="3">
        <f t="shared" si="76"/>
        <v>9.9463821022850965E-2</v>
      </c>
      <c r="AO1690" s="3">
        <f t="shared" si="77"/>
        <v>1.1533196602377749</v>
      </c>
    </row>
    <row r="1691" spans="1:41" x14ac:dyDescent="0.3">
      <c r="A1691" s="2">
        <v>0.74653227743041828</v>
      </c>
      <c r="B1691" s="2">
        <v>25.256464327797879</v>
      </c>
      <c r="C1691" s="2">
        <v>29.334809523352561</v>
      </c>
      <c r="AN1691" s="3">
        <f t="shared" si="76"/>
        <v>2.4619378801839627E-4</v>
      </c>
      <c r="AO1691" s="3">
        <f t="shared" si="77"/>
        <v>0.43895728710522852</v>
      </c>
    </row>
    <row r="1692" spans="1:41" x14ac:dyDescent="0.3">
      <c r="A1692" s="2">
        <v>4.1966658292721828</v>
      </c>
      <c r="B1692" s="2">
        <v>21.214609233762172</v>
      </c>
      <c r="C1692" s="2">
        <v>32.648257061065841</v>
      </c>
      <c r="AN1692" s="3">
        <f t="shared" si="76"/>
        <v>16.463676764298189</v>
      </c>
      <c r="AO1692" s="3">
        <f t="shared" si="77"/>
        <v>7.0273186337116851</v>
      </c>
    </row>
    <row r="1693" spans="1:41" x14ac:dyDescent="0.3">
      <c r="A1693" s="2">
        <v>4.2919299981521606</v>
      </c>
      <c r="B1693" s="2">
        <v>27.831642506581389</v>
      </c>
      <c r="C1693" s="2">
        <v>34.525549380323923</v>
      </c>
      <c r="AN1693" s="3">
        <f t="shared" si="76"/>
        <v>6.5509768519624956</v>
      </c>
      <c r="AO1693" s="3">
        <f t="shared" si="77"/>
        <v>20.504607371240429</v>
      </c>
    </row>
    <row r="1694" spans="1:41" x14ac:dyDescent="0.3">
      <c r="A1694" s="2">
        <v>14.778424959186159</v>
      </c>
      <c r="B1694" s="2">
        <v>24.534551540180608</v>
      </c>
      <c r="C1694" s="2">
        <v>19.907506690138231</v>
      </c>
      <c r="AN1694" s="3">
        <f t="shared" si="76"/>
        <v>0.54405870381780563</v>
      </c>
      <c r="AO1694" s="3">
        <f t="shared" si="77"/>
        <v>101.80489848158166</v>
      </c>
    </row>
    <row r="1695" spans="1:41" x14ac:dyDescent="0.3">
      <c r="A1695" s="2">
        <v>11.53137205416833</v>
      </c>
      <c r="B1695" s="2">
        <v>24.998162184876328</v>
      </c>
      <c r="C1695" s="2">
        <v>31.27886651826773</v>
      </c>
      <c r="AN1695" s="3">
        <f t="shared" si="76"/>
        <v>7.5072003260754777E-2</v>
      </c>
      <c r="AO1695" s="3">
        <f t="shared" si="77"/>
        <v>1.6422896080839002</v>
      </c>
    </row>
    <row r="1696" spans="1:41" x14ac:dyDescent="0.3">
      <c r="A1696" s="2">
        <v>2.8597642488255528</v>
      </c>
      <c r="B1696" s="2">
        <v>20.970461090558899</v>
      </c>
      <c r="C1696" s="2">
        <v>24.65435274991956</v>
      </c>
      <c r="AN1696" s="3">
        <f t="shared" si="76"/>
        <v>18.504569556706386</v>
      </c>
      <c r="AO1696" s="3">
        <f t="shared" si="77"/>
        <v>28.547598678401023</v>
      </c>
    </row>
    <row r="1697" spans="1:41" x14ac:dyDescent="0.3">
      <c r="A1697" s="2">
        <v>0.7726708647029944</v>
      </c>
      <c r="B1697" s="2">
        <v>27.880839754326519</v>
      </c>
      <c r="C1697" s="2">
        <v>30.704191802112341</v>
      </c>
      <c r="AN1697" s="3">
        <f t="shared" si="76"/>
        <v>6.8052367137516843</v>
      </c>
      <c r="AO1697" s="3">
        <f t="shared" si="77"/>
        <v>0.49962810290214632</v>
      </c>
    </row>
    <row r="1698" spans="1:41" x14ac:dyDescent="0.3">
      <c r="A1698" s="2">
        <v>1.456057091464886</v>
      </c>
      <c r="B1698" s="2">
        <v>30.660216306030531</v>
      </c>
      <c r="C1698" s="2">
        <v>24.048263920779789</v>
      </c>
      <c r="AN1698" s="3">
        <f t="shared" si="76"/>
        <v>29.031205807189519</v>
      </c>
      <c r="AO1698" s="3">
        <f t="shared" si="77"/>
        <v>35.39160186711058</v>
      </c>
    </row>
    <row r="1699" spans="1:41" x14ac:dyDescent="0.3">
      <c r="A1699" s="2">
        <v>1.1058103356036959</v>
      </c>
      <c r="B1699" s="2">
        <v>28.626984207900069</v>
      </c>
      <c r="C1699" s="2">
        <v>34.660609825320833</v>
      </c>
      <c r="AN1699" s="3">
        <f t="shared" si="76"/>
        <v>11.254879742449306</v>
      </c>
      <c r="AO1699" s="3">
        <f t="shared" si="77"/>
        <v>21.74601047094583</v>
      </c>
    </row>
    <row r="1700" spans="1:41" x14ac:dyDescent="0.3">
      <c r="A1700" s="2">
        <v>0.35803504912098688</v>
      </c>
      <c r="B1700" s="2">
        <v>19.31667731234775</v>
      </c>
      <c r="C1700" s="2">
        <v>34.793420085438832</v>
      </c>
      <c r="AN1700" s="3">
        <f t="shared" si="76"/>
        <v>35.46771319530238</v>
      </c>
      <c r="AO1700" s="3">
        <f t="shared" si="77"/>
        <v>23.002307057338758</v>
      </c>
    </row>
    <row r="1701" spans="1:41" x14ac:dyDescent="0.3">
      <c r="A1701" s="2">
        <v>11.87764606788358</v>
      </c>
      <c r="B1701" s="2">
        <v>35.251160259742981</v>
      </c>
      <c r="C1701" s="2">
        <v>30.534104815825788</v>
      </c>
      <c r="AN1701" s="3">
        <f t="shared" si="76"/>
        <v>99.580548140231173</v>
      </c>
      <c r="AO1701" s="3">
        <f t="shared" si="77"/>
        <v>0.28810783553302377</v>
      </c>
    </row>
    <row r="1702" spans="1:41" x14ac:dyDescent="0.3">
      <c r="A1702" s="2">
        <v>8.9747082361909207</v>
      </c>
      <c r="B1702" s="2">
        <v>32.514283456823527</v>
      </c>
      <c r="C1702" s="2">
        <v>31.532956889440609</v>
      </c>
      <c r="AN1702" s="3">
        <f t="shared" si="76"/>
        <v>52.448426157262084</v>
      </c>
      <c r="AO1702" s="3">
        <f t="shared" si="77"/>
        <v>2.3580945360145784</v>
      </c>
    </row>
    <row r="1703" spans="1:41" x14ac:dyDescent="0.3">
      <c r="A1703" s="2">
        <v>38.8768775946087</v>
      </c>
      <c r="B1703" s="2">
        <v>24.85322895441033</v>
      </c>
      <c r="C1703" s="2">
        <v>32.1145421306895</v>
      </c>
      <c r="AN1703" s="3">
        <f t="shared" si="76"/>
        <v>0.17549894073249875</v>
      </c>
      <c r="AO1703" s="3">
        <f t="shared" si="77"/>
        <v>4.4825108142509551</v>
      </c>
    </row>
    <row r="1704" spans="1:41" x14ac:dyDescent="0.3">
      <c r="A1704" s="2">
        <v>3.026308381155888</v>
      </c>
      <c r="B1704" s="2">
        <v>28.516178138987438</v>
      </c>
      <c r="C1704" s="2">
        <v>33.047487386495703</v>
      </c>
      <c r="AN1704" s="3">
        <f t="shared" si="76"/>
        <v>10.523686830501918</v>
      </c>
      <c r="AO1704" s="3">
        <f t="shared" si="77"/>
        <v>9.303350028143619</v>
      </c>
    </row>
    <row r="1705" spans="1:41" x14ac:dyDescent="0.3">
      <c r="A1705" s="2">
        <v>12.92257136640354</v>
      </c>
      <c r="B1705" s="2">
        <v>21.436724652318489</v>
      </c>
      <c r="C1705" s="2">
        <v>37.281505395403563</v>
      </c>
      <c r="AN1705" s="3">
        <f t="shared" si="76"/>
        <v>14.710525119317031</v>
      </c>
      <c r="AO1705" s="3">
        <f t="shared" si="77"/>
        <v>53.058948366583643</v>
      </c>
    </row>
    <row r="1706" spans="1:41" x14ac:dyDescent="0.3">
      <c r="A1706" s="2">
        <v>2.485417840466178</v>
      </c>
      <c r="B1706" s="2">
        <v>19.021662131949359</v>
      </c>
      <c r="C1706" s="2">
        <v>29.171389231347309</v>
      </c>
      <c r="AN1706" s="3">
        <f t="shared" si="76"/>
        <v>39.068659736688303</v>
      </c>
      <c r="AO1706" s="3">
        <f t="shared" si="77"/>
        <v>0.68220795491721731</v>
      </c>
    </row>
    <row r="1707" spans="1:41" x14ac:dyDescent="0.3">
      <c r="A1707" s="2">
        <v>12.432998830234281</v>
      </c>
      <c r="B1707" s="2">
        <v>24.785619250285109</v>
      </c>
      <c r="C1707" s="2">
        <v>36.493956607056603</v>
      </c>
      <c r="AN1707" s="3">
        <f t="shared" si="76"/>
        <v>0.23671693013294537</v>
      </c>
      <c r="AO1707" s="3">
        <f t="shared" si="77"/>
        <v>42.205922863121629</v>
      </c>
    </row>
    <row r="1708" spans="1:41" x14ac:dyDescent="0.3">
      <c r="A1708" s="2">
        <v>6.8936760294429797</v>
      </c>
      <c r="B1708" s="2">
        <v>23.06510094553034</v>
      </c>
      <c r="C1708" s="2">
        <v>26.926196329732431</v>
      </c>
      <c r="AN1708" s="3">
        <f t="shared" si="76"/>
        <v>4.8710871202413388</v>
      </c>
      <c r="AO1708" s="3">
        <f t="shared" si="77"/>
        <v>9.4319728324107732</v>
      </c>
    </row>
    <row r="1709" spans="1:41" x14ac:dyDescent="0.3">
      <c r="A1709" s="2">
        <v>33.688119904467413</v>
      </c>
      <c r="B1709" s="2">
        <v>21.833522387265141</v>
      </c>
      <c r="C1709" s="2">
        <v>33.761274919266043</v>
      </c>
      <c r="AN1709" s="3">
        <f t="shared" si="76"/>
        <v>11.824193498901751</v>
      </c>
      <c r="AO1709" s="3">
        <f t="shared" si="77"/>
        <v>14.167145546417666</v>
      </c>
    </row>
    <row r="1710" spans="1:41" x14ac:dyDescent="0.3">
      <c r="A1710" s="2">
        <v>75.97678730956352</v>
      </c>
      <c r="B1710" s="2">
        <v>37.879223114926198</v>
      </c>
      <c r="C1710" s="2">
        <v>36.182354305637652</v>
      </c>
      <c r="AN1710" s="3">
        <f t="shared" si="76"/>
        <v>158.93816919114457</v>
      </c>
      <c r="AO1710" s="3">
        <f t="shared" si="77"/>
        <v>38.254302496045732</v>
      </c>
    </row>
    <row r="1711" spans="1:41" x14ac:dyDescent="0.3">
      <c r="A1711" s="2">
        <v>15.627510432042291</v>
      </c>
      <c r="B1711" s="2">
        <v>33.482730454228289</v>
      </c>
      <c r="C1711" s="2">
        <v>35.745963597941092</v>
      </c>
      <c r="AN1711" s="3">
        <f t="shared" si="76"/>
        <v>67.413551071936539</v>
      </c>
      <c r="AO1711" s="3">
        <f t="shared" si="77"/>
        <v>33.046580823771805</v>
      </c>
    </row>
    <row r="1712" spans="1:41" x14ac:dyDescent="0.3">
      <c r="A1712" s="2">
        <v>8.5998789197471375</v>
      </c>
      <c r="B1712" s="2">
        <v>34.398310232083873</v>
      </c>
      <c r="C1712" s="2">
        <v>28.960751174988399</v>
      </c>
      <c r="AN1712" s="3">
        <f t="shared" si="76"/>
        <v>83.286711301207333</v>
      </c>
      <c r="AO1712" s="3">
        <f t="shared" si="77"/>
        <v>1.0745330622163458</v>
      </c>
    </row>
    <row r="1713" spans="1:41" x14ac:dyDescent="0.3">
      <c r="A1713" s="2">
        <v>8.1974170529244379</v>
      </c>
      <c r="B1713" s="2">
        <v>23.213539960928191</v>
      </c>
      <c r="C1713" s="2">
        <v>31.643169367169619</v>
      </c>
      <c r="AN1713" s="3">
        <f t="shared" si="76"/>
        <v>4.2378954322062956</v>
      </c>
      <c r="AO1713" s="3">
        <f t="shared" si="77"/>
        <v>2.7087278383236675</v>
      </c>
    </row>
    <row r="1714" spans="1:41" x14ac:dyDescent="0.3">
      <c r="A1714" s="2">
        <v>18.547457669721791</v>
      </c>
      <c r="B1714" s="2">
        <v>31.81701720786533</v>
      </c>
      <c r="C1714" s="2">
        <v>34.200514406147157</v>
      </c>
      <c r="AN1714" s="3">
        <f t="shared" si="76"/>
        <v>42.835222740709504</v>
      </c>
      <c r="AO1714" s="3">
        <f t="shared" si="77"/>
        <v>17.66660749476166</v>
      </c>
    </row>
    <row r="1715" spans="1:41" x14ac:dyDescent="0.3">
      <c r="A1715" s="2">
        <v>2.1430970091194919</v>
      </c>
      <c r="B1715" s="2">
        <v>29.140585016157711</v>
      </c>
      <c r="C1715" s="2">
        <v>27.30487068983394</v>
      </c>
      <c r="AN1715" s="3">
        <f t="shared" si="76"/>
        <v>14.964751629672863</v>
      </c>
      <c r="AO1715" s="3">
        <f t="shared" si="77"/>
        <v>7.2494342854805645</v>
      </c>
    </row>
    <row r="1716" spans="1:41" x14ac:dyDescent="0.3">
      <c r="A1716" s="2">
        <v>0.1821355084401485</v>
      </c>
      <c r="B1716" s="2">
        <v>31.200771009989118</v>
      </c>
      <c r="C1716" s="2">
        <v>20.766097274435079</v>
      </c>
      <c r="AN1716" s="3">
        <f t="shared" si="76"/>
        <v>35.148489080889576</v>
      </c>
      <c r="AO1716" s="3">
        <f t="shared" si="77"/>
        <v>85.215990711565581</v>
      </c>
    </row>
    <row r="1717" spans="1:41" x14ac:dyDescent="0.3">
      <c r="A1717" s="2">
        <v>12.03356927947752</v>
      </c>
      <c r="B1717" s="2">
        <v>19.722467979969519</v>
      </c>
      <c r="C1717" s="2">
        <v>25.613522419334402</v>
      </c>
      <c r="AN1717" s="3">
        <f t="shared" si="76"/>
        <v>30.799024815562856</v>
      </c>
      <c r="AO1717" s="3">
        <f t="shared" si="77"/>
        <v>19.217927079443243</v>
      </c>
    </row>
    <row r="1718" spans="1:41" x14ac:dyDescent="0.3">
      <c r="A1718" s="2">
        <v>10.716694437706201</v>
      </c>
      <c r="B1718" s="2">
        <v>24.398129106561001</v>
      </c>
      <c r="C1718" s="2">
        <v>21.89885581875151</v>
      </c>
      <c r="AN1718" s="3">
        <f t="shared" si="76"/>
        <v>0.76392107266738241</v>
      </c>
      <c r="AO1718" s="3">
        <f t="shared" si="77"/>
        <v>65.585576270626063</v>
      </c>
    </row>
    <row r="1719" spans="1:41" x14ac:dyDescent="0.3">
      <c r="A1719" s="2">
        <v>23.192674130334741</v>
      </c>
      <c r="B1719" s="2">
        <v>28.678314394934361</v>
      </c>
      <c r="C1719" s="2">
        <v>33.551302786850101</v>
      </c>
      <c r="AN1719" s="3">
        <f t="shared" si="76"/>
        <v>11.601922563112327</v>
      </c>
      <c r="AO1719" s="3">
        <f t="shared" si="77"/>
        <v>12.630594336951772</v>
      </c>
    </row>
    <row r="1720" spans="1:41" x14ac:dyDescent="0.3">
      <c r="A1720" s="2">
        <v>3.5797516190039631</v>
      </c>
      <c r="B1720" s="2">
        <v>14.76691669250321</v>
      </c>
      <c r="C1720" s="2">
        <v>33.593606186822022</v>
      </c>
      <c r="AN1720" s="3">
        <f t="shared" si="76"/>
        <v>110.36002961680973</v>
      </c>
      <c r="AO1720" s="3">
        <f t="shared" si="77"/>
        <v>12.933072652809242</v>
      </c>
    </row>
    <row r="1721" spans="1:41" x14ac:dyDescent="0.3">
      <c r="A1721" s="2">
        <v>4.4589602832417228</v>
      </c>
      <c r="B1721" s="2">
        <v>18.622750449002059</v>
      </c>
      <c r="C1721" s="2">
        <v>31.930946244003469</v>
      </c>
      <c r="AN1721" s="3">
        <f t="shared" si="76"/>
        <v>44.214579439372336</v>
      </c>
      <c r="AO1721" s="3">
        <f t="shared" si="77"/>
        <v>3.7388020114206553</v>
      </c>
    </row>
    <row r="1722" spans="1:41" x14ac:dyDescent="0.3">
      <c r="A1722" s="2">
        <v>5.2547162760954214</v>
      </c>
      <c r="B1722" s="2">
        <v>21.420995277763421</v>
      </c>
      <c r="C1722" s="2">
        <v>38.532307230941079</v>
      </c>
      <c r="AN1722" s="3">
        <f t="shared" si="76"/>
        <v>14.831430370163492</v>
      </c>
      <c r="AO1722" s="3">
        <f t="shared" si="77"/>
        <v>72.845528377324996</v>
      </c>
    </row>
    <row r="1723" spans="1:41" x14ac:dyDescent="0.3">
      <c r="A1723" s="2">
        <v>0.60977965774657295</v>
      </c>
      <c r="B1723" s="2">
        <v>26.337097984666901</v>
      </c>
      <c r="C1723" s="2">
        <v>22.32050122405553</v>
      </c>
      <c r="AN1723" s="3">
        <f t="shared" si="76"/>
        <v>1.1341037917702141</v>
      </c>
      <c r="AO1723" s="3">
        <f t="shared" si="77"/>
        <v>58.933977047803488</v>
      </c>
    </row>
    <row r="1724" spans="1:41" x14ac:dyDescent="0.3">
      <c r="A1724" s="2">
        <v>21.57136956716462</v>
      </c>
      <c r="B1724" s="2">
        <v>19.77733469234493</v>
      </c>
      <c r="C1724" s="2">
        <v>20.119039095829081</v>
      </c>
      <c r="AN1724" s="3">
        <f t="shared" si="76"/>
        <v>30.19304902059714</v>
      </c>
      <c r="AO1724" s="3">
        <f t="shared" si="77"/>
        <v>97.580987612348821</v>
      </c>
    </row>
    <row r="1725" spans="1:41" x14ac:dyDescent="0.3">
      <c r="A1725" s="2">
        <v>1.5726030494895991</v>
      </c>
      <c r="B1725" s="2">
        <v>29.16979074630267</v>
      </c>
      <c r="C1725" s="2">
        <v>29.286579344089709</v>
      </c>
      <c r="AN1725" s="3">
        <f t="shared" si="76"/>
        <v>15.191565256959295</v>
      </c>
      <c r="AO1725" s="3">
        <f t="shared" si="77"/>
        <v>0.50519214022729864</v>
      </c>
    </row>
    <row r="1726" spans="1:41" x14ac:dyDescent="0.3">
      <c r="A1726" s="2">
        <v>2.2965149407888878</v>
      </c>
      <c r="B1726" s="2">
        <v>24.465616896939409</v>
      </c>
      <c r="C1726" s="2">
        <v>25.91655777785299</v>
      </c>
      <c r="AN1726" s="3">
        <f t="shared" si="76"/>
        <v>0.65050353660443982</v>
      </c>
      <c r="AO1726" s="3">
        <f t="shared" si="77"/>
        <v>16.6528491701864</v>
      </c>
    </row>
    <row r="1727" spans="1:41" x14ac:dyDescent="0.3">
      <c r="A1727" s="2">
        <v>15.708042248119471</v>
      </c>
      <c r="B1727" s="2">
        <v>28.590902043734889</v>
      </c>
      <c r="C1727" s="2">
        <v>30.21555006128844</v>
      </c>
      <c r="AN1727" s="3">
        <f t="shared" si="76"/>
        <v>11.014082660736216</v>
      </c>
      <c r="AO1727" s="3">
        <f t="shared" si="77"/>
        <v>4.761212174399302E-2</v>
      </c>
    </row>
    <row r="1728" spans="1:41" x14ac:dyDescent="0.3">
      <c r="A1728" s="2">
        <v>3.9892528171484658</v>
      </c>
      <c r="B1728" s="2">
        <v>14.17569224521314</v>
      </c>
      <c r="C1728" s="2">
        <v>28.63862485051412</v>
      </c>
      <c r="AN1728" s="3">
        <f t="shared" si="76"/>
        <v>123.13148325954006</v>
      </c>
      <c r="AO1728" s="3">
        <f t="shared" si="77"/>
        <v>1.8461287078283892</v>
      </c>
    </row>
    <row r="1729" spans="1:41" x14ac:dyDescent="0.3">
      <c r="A1729" s="2">
        <v>16.117594691589652</v>
      </c>
      <c r="B1729" s="2">
        <v>23.03210094115898</v>
      </c>
      <c r="C1729" s="2">
        <v>27.970363427029</v>
      </c>
      <c r="AN1729" s="3">
        <f t="shared" si="76"/>
        <v>5.0178417002568239</v>
      </c>
      <c r="AO1729" s="3">
        <f t="shared" si="77"/>
        <v>4.1086666244759318</v>
      </c>
    </row>
    <row r="1730" spans="1:41" x14ac:dyDescent="0.3">
      <c r="A1730" s="2">
        <v>26.177807073491429</v>
      </c>
      <c r="B1730" s="2">
        <v>28.886340875631682</v>
      </c>
      <c r="C1730" s="2">
        <v>27.416319562941371</v>
      </c>
      <c r="AN1730" s="3">
        <f t="shared" si="76"/>
        <v>13.062340328186869</v>
      </c>
      <c r="AO1730" s="3">
        <f t="shared" si="77"/>
        <v>6.6617080035319489</v>
      </c>
    </row>
    <row r="1731" spans="1:41" x14ac:dyDescent="0.3">
      <c r="A1731" s="2">
        <v>1.0049064783564809</v>
      </c>
      <c r="B1731" s="2">
        <v>24.643744918650679</v>
      </c>
      <c r="C1731" s="2">
        <v>26.514530573210891</v>
      </c>
      <c r="AN1731" s="3">
        <f t="shared" ref="AN1731:AN1794" si="78">(B1731-$AK$2)^2</f>
        <v>0.39489909392554357</v>
      </c>
      <c r="AO1731" s="3">
        <f t="shared" ref="AO1731:AO1794" si="79">(C1731-$AK$3)^2</f>
        <v>12.130017512563677</v>
      </c>
    </row>
    <row r="1732" spans="1:41" x14ac:dyDescent="0.3">
      <c r="A1732" s="2">
        <v>2.2779396864804311</v>
      </c>
      <c r="B1732" s="2">
        <v>18.650388506356801</v>
      </c>
      <c r="C1732" s="2">
        <v>28.367767430457651</v>
      </c>
      <c r="AN1732" s="3">
        <f t="shared" si="78"/>
        <v>43.847790058875646</v>
      </c>
      <c r="AO1732" s="3">
        <f t="shared" si="79"/>
        <v>2.6555329656130375</v>
      </c>
    </row>
    <row r="1733" spans="1:41" x14ac:dyDescent="0.3">
      <c r="A1733" s="2">
        <v>7.5050209849280174</v>
      </c>
      <c r="B1733" s="2">
        <v>20.955983854040859</v>
      </c>
      <c r="C1733" s="2">
        <v>32.990939807004352</v>
      </c>
      <c r="AN1733" s="3">
        <f t="shared" si="78"/>
        <v>18.629332424251235</v>
      </c>
      <c r="AO1733" s="3">
        <f t="shared" si="79"/>
        <v>8.9615916626694219</v>
      </c>
    </row>
    <row r="1734" spans="1:41" x14ac:dyDescent="0.3">
      <c r="A1734" s="2">
        <v>8.7251145188520098</v>
      </c>
      <c r="B1734" s="2">
        <v>20.487896318817061</v>
      </c>
      <c r="C1734" s="2">
        <v>32.744052416496793</v>
      </c>
      <c r="AN1734" s="3">
        <f t="shared" si="78"/>
        <v>22.889130089902366</v>
      </c>
      <c r="AO1734" s="3">
        <f t="shared" si="79"/>
        <v>7.5443849274562425</v>
      </c>
    </row>
    <row r="1735" spans="1:41" x14ac:dyDescent="0.3">
      <c r="A1735" s="2">
        <v>11.26781698526791</v>
      </c>
      <c r="B1735" s="2">
        <v>26.774793106589279</v>
      </c>
      <c r="C1735" s="2">
        <v>35.959674237911813</v>
      </c>
      <c r="AN1735" s="3">
        <f t="shared" si="78"/>
        <v>2.2579216055685016</v>
      </c>
      <c r="AO1735" s="3">
        <f t="shared" si="79"/>
        <v>35.549333680731806</v>
      </c>
    </row>
    <row r="1736" spans="1:41" x14ac:dyDescent="0.3">
      <c r="A1736" s="2">
        <v>5.3731698034417219</v>
      </c>
      <c r="B1736" s="2">
        <v>26.873334631785209</v>
      </c>
      <c r="C1736" s="2">
        <v>29.001204554998822</v>
      </c>
      <c r="AN1736" s="3">
        <f t="shared" si="78"/>
        <v>2.5637765608296053</v>
      </c>
      <c r="AO1736" s="3">
        <f t="shared" si="79"/>
        <v>0.9923018443098035</v>
      </c>
    </row>
    <row r="1737" spans="1:41" x14ac:dyDescent="0.3">
      <c r="A1737" s="2">
        <v>0.28334488801718821</v>
      </c>
      <c r="B1737" s="2">
        <v>30.564990079916232</v>
      </c>
      <c r="C1737" s="2">
        <v>27.792087426435529</v>
      </c>
      <c r="AN1737" s="3">
        <f t="shared" si="78"/>
        <v>28.014104332166141</v>
      </c>
      <c r="AO1737" s="3">
        <f t="shared" si="79"/>
        <v>4.8631743772797398</v>
      </c>
    </row>
    <row r="1738" spans="1:41" x14ac:dyDescent="0.3">
      <c r="A1738" s="2">
        <v>3.6363618944804008</v>
      </c>
      <c r="B1738" s="2">
        <v>24.408246332493061</v>
      </c>
      <c r="C1738" s="2">
        <v>24.516125455634469</v>
      </c>
      <c r="AN1738" s="3">
        <f t="shared" si="78"/>
        <v>0.74633799825541514</v>
      </c>
      <c r="AO1738" s="3">
        <f t="shared" si="79"/>
        <v>30.043801028159962</v>
      </c>
    </row>
    <row r="1739" spans="1:41" x14ac:dyDescent="0.3">
      <c r="A1739" s="2">
        <v>4.0310060317669336</v>
      </c>
      <c r="B1739" s="2">
        <v>21.655079009721032</v>
      </c>
      <c r="C1739" s="2">
        <v>30.819414365095739</v>
      </c>
      <c r="AN1739" s="3">
        <f t="shared" si="78"/>
        <v>13.083237934253889</v>
      </c>
      <c r="AO1739" s="3">
        <f t="shared" si="79"/>
        <v>0.67579304153641839</v>
      </c>
    </row>
    <row r="1740" spans="1:41" x14ac:dyDescent="0.3">
      <c r="A1740" s="2">
        <v>21.17385168209535</v>
      </c>
      <c r="B1740" s="2">
        <v>23.775475632785369</v>
      </c>
      <c r="C1740" s="2">
        <v>31.391099287391231</v>
      </c>
      <c r="AN1740" s="3">
        <f t="shared" si="78"/>
        <v>2.2400488033452515</v>
      </c>
      <c r="AO1740" s="3">
        <f t="shared" si="79"/>
        <v>1.9425425373666629</v>
      </c>
    </row>
    <row r="1741" spans="1:41" x14ac:dyDescent="0.3">
      <c r="A1741" s="2">
        <v>14.68819082340541</v>
      </c>
      <c r="B1741" s="2">
        <v>27.854348563643111</v>
      </c>
      <c r="C1741" s="2">
        <v>29.704770194172202</v>
      </c>
      <c r="AN1741" s="3">
        <f t="shared" si="78"/>
        <v>6.6677241606652435</v>
      </c>
      <c r="AO1741" s="3">
        <f t="shared" si="79"/>
        <v>8.5601796339027966E-2</v>
      </c>
    </row>
    <row r="1742" spans="1:41" x14ac:dyDescent="0.3">
      <c r="A1742" s="2">
        <v>1.943386965444883</v>
      </c>
      <c r="B1742" s="2">
        <v>34.027149205866337</v>
      </c>
      <c r="C1742" s="2">
        <v>32.053478555747247</v>
      </c>
      <c r="AN1742" s="3">
        <f t="shared" si="78"/>
        <v>76.649925445296589</v>
      </c>
      <c r="AO1742" s="3">
        <f t="shared" si="79"/>
        <v>4.2276726944855074</v>
      </c>
    </row>
    <row r="1743" spans="1:41" x14ac:dyDescent="0.3">
      <c r="A1743" s="2">
        <v>35.457598703933492</v>
      </c>
      <c r="B1743" s="2">
        <v>27.495898433031691</v>
      </c>
      <c r="C1743" s="2">
        <v>28.633815611131929</v>
      </c>
      <c r="AN1743" s="3">
        <f t="shared" si="78"/>
        <v>4.9450353386841703</v>
      </c>
      <c r="AO1743" s="3">
        <f t="shared" si="79"/>
        <v>1.8592206867642882</v>
      </c>
    </row>
    <row r="1744" spans="1:41" x14ac:dyDescent="0.3">
      <c r="A1744" s="2">
        <v>10.62958972204078</v>
      </c>
      <c r="B1744" s="2">
        <v>22.49557006724077</v>
      </c>
      <c r="C1744" s="2">
        <v>28.15281531944866</v>
      </c>
      <c r="AN1744" s="3">
        <f t="shared" si="78"/>
        <v>7.7094232860815799</v>
      </c>
      <c r="AO1744" s="3">
        <f t="shared" si="79"/>
        <v>3.4023009601462997</v>
      </c>
    </row>
    <row r="1745" spans="1:41" x14ac:dyDescent="0.3">
      <c r="A1745" s="2">
        <v>6.9666506795678336</v>
      </c>
      <c r="B1745" s="2">
        <v>23.786090029965141</v>
      </c>
      <c r="C1745" s="2">
        <v>32.496235694159047</v>
      </c>
      <c r="AN1745" s="3">
        <f t="shared" si="78"/>
        <v>2.2083887725681541</v>
      </c>
      <c r="AO1745" s="3">
        <f t="shared" si="79"/>
        <v>6.2444395040960341</v>
      </c>
    </row>
    <row r="1746" spans="1:41" x14ac:dyDescent="0.3">
      <c r="A1746" s="2">
        <v>6.6175181723352399</v>
      </c>
      <c r="B1746" s="2">
        <v>7.2863121262610839</v>
      </c>
      <c r="C1746" s="2">
        <v>32.926652899965539</v>
      </c>
      <c r="AN1746" s="3">
        <f t="shared" si="78"/>
        <v>323.49053997443906</v>
      </c>
      <c r="AO1746" s="3">
        <f t="shared" si="79"/>
        <v>8.5808269579141339</v>
      </c>
    </row>
    <row r="1747" spans="1:41" x14ac:dyDescent="0.3">
      <c r="A1747" s="2">
        <v>6.7571440550579984</v>
      </c>
      <c r="B1747" s="2">
        <v>29.53823437532068</v>
      </c>
      <c r="C1747" s="2">
        <v>27.10611907435894</v>
      </c>
      <c r="AN1747" s="3">
        <f t="shared" si="78"/>
        <v>18.199434162621543</v>
      </c>
      <c r="AO1747" s="3">
        <f t="shared" si="79"/>
        <v>8.3592049364043284</v>
      </c>
    </row>
    <row r="1748" spans="1:41" x14ac:dyDescent="0.3">
      <c r="A1748" s="2">
        <v>2.3680454407436131</v>
      </c>
      <c r="B1748" s="2">
        <v>24.67474963372447</v>
      </c>
      <c r="C1748" s="2">
        <v>32.506120391120838</v>
      </c>
      <c r="AN1748" s="3">
        <f t="shared" si="78"/>
        <v>0.35689304196941934</v>
      </c>
      <c r="AO1748" s="3">
        <f t="shared" si="79"/>
        <v>6.2939387057200342</v>
      </c>
    </row>
    <row r="1749" spans="1:41" x14ac:dyDescent="0.3">
      <c r="A1749" s="2">
        <v>37.535260355421599</v>
      </c>
      <c r="B1749" s="2">
        <v>31.5524858027979</v>
      </c>
      <c r="C1749" s="2">
        <v>34.54688819784112</v>
      </c>
      <c r="AN1749" s="3">
        <f t="shared" si="78"/>
        <v>39.442556355913013</v>
      </c>
      <c r="AO1749" s="3">
        <f t="shared" si="79"/>
        <v>20.698315640503797</v>
      </c>
    </row>
    <row r="1750" spans="1:41" x14ac:dyDescent="0.3">
      <c r="A1750" s="2">
        <v>10.10986572362313</v>
      </c>
      <c r="B1750" s="2">
        <v>23.53605365518969</v>
      </c>
      <c r="C1750" s="2">
        <v>23.30055485019254</v>
      </c>
      <c r="AN1750" s="3">
        <f t="shared" si="78"/>
        <v>3.0140475025774536</v>
      </c>
      <c r="AO1750" s="3">
        <f t="shared" si="79"/>
        <v>44.847039037804628</v>
      </c>
    </row>
    <row r="1751" spans="1:41" x14ac:dyDescent="0.3">
      <c r="A1751" s="2">
        <v>16.708073001309749</v>
      </c>
      <c r="B1751" s="2">
        <v>24.255473304610849</v>
      </c>
      <c r="C1751" s="2">
        <v>26.925065229744511</v>
      </c>
      <c r="AN1751" s="3">
        <f t="shared" si="78"/>
        <v>1.0336414490370274</v>
      </c>
      <c r="AO1751" s="3">
        <f t="shared" si="79"/>
        <v>9.4389216711245361</v>
      </c>
    </row>
    <row r="1752" spans="1:41" x14ac:dyDescent="0.3">
      <c r="A1752" s="2">
        <v>6.8612568385280834</v>
      </c>
      <c r="B1752" s="2">
        <v>20.936371520347389</v>
      </c>
      <c r="C1752" s="2">
        <v>27.610728138540061</v>
      </c>
      <c r="AN1752" s="3">
        <f t="shared" si="78"/>
        <v>18.799017441212023</v>
      </c>
      <c r="AO1752" s="3">
        <f t="shared" si="79"/>
        <v>5.6959545578768509</v>
      </c>
    </row>
    <row r="1753" spans="1:41" x14ac:dyDescent="0.3">
      <c r="A1753" s="2">
        <v>4.867832840581988</v>
      </c>
      <c r="B1753" s="2">
        <v>19.990137177271642</v>
      </c>
      <c r="C1753" s="2">
        <v>32.748712938612371</v>
      </c>
      <c r="AN1753" s="3">
        <f t="shared" si="78"/>
        <v>27.899711132993996</v>
      </c>
      <c r="AO1753" s="3">
        <f t="shared" si="79"/>
        <v>7.570008800898389</v>
      </c>
    </row>
    <row r="1754" spans="1:41" x14ac:dyDescent="0.3">
      <c r="A1754" s="2">
        <v>7.2461494739903776</v>
      </c>
      <c r="B1754" s="2">
        <v>27.48221741487373</v>
      </c>
      <c r="C1754" s="2">
        <v>23.398166126989501</v>
      </c>
      <c r="AN1754" s="3">
        <f t="shared" si="78"/>
        <v>4.8843763574002148</v>
      </c>
      <c r="AO1754" s="3">
        <f t="shared" si="79"/>
        <v>43.549201931601232</v>
      </c>
    </row>
    <row r="1755" spans="1:41" x14ac:dyDescent="0.3">
      <c r="A1755" s="2">
        <v>19.008308805158261</v>
      </c>
      <c r="B1755" s="2">
        <v>24.812231010697801</v>
      </c>
      <c r="C1755" s="2">
        <v>25.89242070608497</v>
      </c>
      <c r="AN1755" s="3">
        <f t="shared" si="78"/>
        <v>0.21152997609487292</v>
      </c>
      <c r="AO1755" s="3">
        <f t="shared" si="79"/>
        <v>16.850428423314053</v>
      </c>
    </row>
    <row r="1756" spans="1:41" x14ac:dyDescent="0.3">
      <c r="A1756" s="2">
        <v>6.7714849553816734</v>
      </c>
      <c r="B1756" s="2">
        <v>31.123990642044792</v>
      </c>
      <c r="C1756" s="2">
        <v>26.284345986467351</v>
      </c>
      <c r="AN1756" s="3">
        <f t="shared" si="78"/>
        <v>34.243981651828491</v>
      </c>
      <c r="AO1756" s="3">
        <f t="shared" si="79"/>
        <v>13.78638425549965</v>
      </c>
    </row>
    <row r="1757" spans="1:41" x14ac:dyDescent="0.3">
      <c r="A1757" s="2">
        <v>3.3206258738821748</v>
      </c>
      <c r="B1757" s="2">
        <v>26.23261948462995</v>
      </c>
      <c r="C1757" s="2">
        <v>27.466069300537729</v>
      </c>
      <c r="AN1757" s="3">
        <f t="shared" si="78"/>
        <v>0.92249223473413877</v>
      </c>
      <c r="AO1757" s="3">
        <f t="shared" si="79"/>
        <v>6.4073720609181857</v>
      </c>
    </row>
    <row r="1758" spans="1:41" x14ac:dyDescent="0.3">
      <c r="A1758" s="2">
        <v>0.52796555629558117</v>
      </c>
      <c r="B1758" s="2">
        <v>22.74468351228424</v>
      </c>
      <c r="C1758" s="2">
        <v>33.007833774018152</v>
      </c>
      <c r="AN1758" s="3">
        <f t="shared" si="78"/>
        <v>6.3881115725499313</v>
      </c>
      <c r="AO1758" s="3">
        <f t="shared" si="79"/>
        <v>9.0630243498928689</v>
      </c>
    </row>
    <row r="1759" spans="1:41" x14ac:dyDescent="0.3">
      <c r="A1759" s="2">
        <v>20.842197306882749</v>
      </c>
      <c r="B1759" s="2">
        <v>31.759878854641681</v>
      </c>
      <c r="C1759" s="2">
        <v>24.63394723458828</v>
      </c>
      <c r="AN1759" s="3">
        <f t="shared" si="78"/>
        <v>42.09056222244871</v>
      </c>
      <c r="AO1759" s="3">
        <f t="shared" si="79"/>
        <v>28.76606820810311</v>
      </c>
    </row>
    <row r="1760" spans="1:41" x14ac:dyDescent="0.3">
      <c r="A1760" s="2">
        <v>5.6050221148555153</v>
      </c>
      <c r="B1760" s="2">
        <v>14.310633912701141</v>
      </c>
      <c r="C1760" s="2">
        <v>30.08296996341279</v>
      </c>
      <c r="AN1760" s="3">
        <f t="shared" si="78"/>
        <v>120.15494216775893</v>
      </c>
      <c r="AO1760" s="3">
        <f t="shared" si="79"/>
        <v>7.3311136314222793E-3</v>
      </c>
    </row>
    <row r="1761" spans="1:41" x14ac:dyDescent="0.3">
      <c r="A1761" s="2">
        <v>9.9874288992822944</v>
      </c>
      <c r="B1761" s="2">
        <v>23.649385978737278</v>
      </c>
      <c r="C1761" s="2">
        <v>25.90787667406849</v>
      </c>
      <c r="AN1761" s="3">
        <f t="shared" si="78"/>
        <v>2.6333789440975588</v>
      </c>
      <c r="AO1761" s="3">
        <f t="shared" si="79"/>
        <v>16.723776059340207</v>
      </c>
    </row>
    <row r="1762" spans="1:41" x14ac:dyDescent="0.3">
      <c r="A1762" s="2">
        <v>14.239636117308761</v>
      </c>
      <c r="B1762" s="2">
        <v>15.73980028517494</v>
      </c>
      <c r="C1762" s="2">
        <v>25.939880732888309</v>
      </c>
      <c r="AN1762" s="3">
        <f t="shared" si="78"/>
        <v>90.865784339953862</v>
      </c>
      <c r="AO1762" s="3">
        <f t="shared" si="79"/>
        <v>16.463040954795286</v>
      </c>
    </row>
    <row r="1763" spans="1:41" x14ac:dyDescent="0.3">
      <c r="A1763" s="2">
        <v>15.31502765902575</v>
      </c>
      <c r="B1763" s="2">
        <v>31.80728836429309</v>
      </c>
      <c r="C1763" s="2">
        <v>30.07492622981723</v>
      </c>
      <c r="AN1763" s="3">
        <f t="shared" si="78"/>
        <v>42.707969507750427</v>
      </c>
      <c r="AO1763" s="3">
        <f t="shared" si="79"/>
        <v>6.0183754107506057E-3</v>
      </c>
    </row>
    <row r="1764" spans="1:41" x14ac:dyDescent="0.3">
      <c r="A1764" s="2">
        <v>5.7077715745189073</v>
      </c>
      <c r="B1764" s="2">
        <v>30.910424029931931</v>
      </c>
      <c r="C1764" s="2">
        <v>30.277678849597759</v>
      </c>
      <c r="AN1764" s="3">
        <f t="shared" si="78"/>
        <v>31.790078877851009</v>
      </c>
      <c r="AO1764" s="3">
        <f t="shared" si="79"/>
        <v>7.8585362359607086E-2</v>
      </c>
    </row>
    <row r="1765" spans="1:41" x14ac:dyDescent="0.3">
      <c r="A1765" s="2">
        <v>36.818933423648772</v>
      </c>
      <c r="B1765" s="2">
        <v>29.50686368501211</v>
      </c>
      <c r="C1765" s="2">
        <v>27.565567630228941</v>
      </c>
      <c r="AN1765" s="3">
        <f t="shared" si="78"/>
        <v>17.932758566192071</v>
      </c>
      <c r="AO1765" s="3">
        <f t="shared" si="79"/>
        <v>5.9135559652510175</v>
      </c>
    </row>
    <row r="1766" spans="1:41" x14ac:dyDescent="0.3">
      <c r="A1766" s="2">
        <v>9.3656483869036755</v>
      </c>
      <c r="B1766" s="2">
        <v>23.24650913315773</v>
      </c>
      <c r="C1766" s="2">
        <v>20.493648490799021</v>
      </c>
      <c r="AN1766" s="3">
        <f t="shared" si="78"/>
        <v>4.1032407381258258</v>
      </c>
      <c r="AO1766" s="3">
        <f t="shared" si="79"/>
        <v>90.320305136743002</v>
      </c>
    </row>
    <row r="1767" spans="1:41" x14ac:dyDescent="0.3">
      <c r="A1767" s="2">
        <v>4.1315072472591998</v>
      </c>
      <c r="B1767" s="2">
        <v>26.798406712354431</v>
      </c>
      <c r="C1767" s="2">
        <v>30.966031347066831</v>
      </c>
      <c r="AN1767" s="3">
        <f t="shared" si="78"/>
        <v>2.32944462078519</v>
      </c>
      <c r="AO1767" s="3">
        <f t="shared" si="79"/>
        <v>0.93834734783451546</v>
      </c>
    </row>
    <row r="1768" spans="1:41" x14ac:dyDescent="0.3">
      <c r="A1768" s="2">
        <v>17.827597526997639</v>
      </c>
      <c r="B1768" s="2">
        <v>33.690396546748339</v>
      </c>
      <c r="C1768" s="2">
        <v>18.532591026481882</v>
      </c>
      <c r="AN1768" s="3">
        <f t="shared" si="78"/>
        <v>70.866792566840701</v>
      </c>
      <c r="AO1768" s="3">
        <f t="shared" si="79"/>
        <v>131.44065339742187</v>
      </c>
    </row>
    <row r="1769" spans="1:41" x14ac:dyDescent="0.3">
      <c r="A1769" s="2">
        <v>3.7971709145634751</v>
      </c>
      <c r="B1769" s="2">
        <v>24.272456323172399</v>
      </c>
      <c r="C1769" s="2">
        <v>15.49518332015716</v>
      </c>
      <c r="AN1769" s="3">
        <f t="shared" si="78"/>
        <v>0.99939722743521631</v>
      </c>
      <c r="AO1769" s="3">
        <f t="shared" si="79"/>
        <v>210.31278158474052</v>
      </c>
    </row>
    <row r="1770" spans="1:41" x14ac:dyDescent="0.3">
      <c r="A1770" s="2">
        <v>3.6707329710136891</v>
      </c>
      <c r="B1770" s="2">
        <v>25.264722201754608</v>
      </c>
      <c r="C1770" s="2">
        <v>19.44909357868319</v>
      </c>
      <c r="AN1770" s="3">
        <f t="shared" si="78"/>
        <v>5.5244876248731772E-5</v>
      </c>
      <c r="AO1770" s="3">
        <f t="shared" si="79"/>
        <v>111.26567219762735</v>
      </c>
    </row>
    <row r="1771" spans="1:41" x14ac:dyDescent="0.3">
      <c r="A1771" s="2">
        <v>2.4607078001788998</v>
      </c>
      <c r="B1771" s="2">
        <v>21.465204130221569</v>
      </c>
      <c r="C1771" s="2">
        <v>30.638175056675031</v>
      </c>
      <c r="AN1771" s="3">
        <f t="shared" si="78"/>
        <v>14.492874098489825</v>
      </c>
      <c r="AO1771" s="3">
        <f t="shared" si="79"/>
        <v>0.41065926427164301</v>
      </c>
    </row>
    <row r="1772" spans="1:41" x14ac:dyDescent="0.3">
      <c r="A1772" s="2">
        <v>15.14451715501014</v>
      </c>
      <c r="B1772" s="2">
        <v>29.566236268669929</v>
      </c>
      <c r="C1772" s="2">
        <v>34.147875812196908</v>
      </c>
      <c r="AN1772" s="3">
        <f t="shared" si="78"/>
        <v>18.439134874105683</v>
      </c>
      <c r="AO1772" s="3">
        <f t="shared" si="79"/>
        <v>17.226880781113312</v>
      </c>
    </row>
    <row r="1773" spans="1:41" x14ac:dyDescent="0.3">
      <c r="A1773" s="2">
        <v>38.383058213833372</v>
      </c>
      <c r="B1773" s="2">
        <v>16.838136555509049</v>
      </c>
      <c r="C1773" s="2">
        <v>38.872404519187747</v>
      </c>
      <c r="AN1773" s="3">
        <f t="shared" si="78"/>
        <v>71.132665291147887</v>
      </c>
      <c r="AO1773" s="3">
        <f t="shared" si="79"/>
        <v>78.7666274945217</v>
      </c>
    </row>
    <row r="1774" spans="1:41" x14ac:dyDescent="0.3">
      <c r="A1774" s="2">
        <v>6.5295353117633281</v>
      </c>
      <c r="B1774" s="2">
        <v>33.05620355342473</v>
      </c>
      <c r="C1774" s="2">
        <v>21.396195052153111</v>
      </c>
      <c r="AN1774" s="3">
        <f t="shared" si="78"/>
        <v>60.591413571843177</v>
      </c>
      <c r="AO1774" s="3">
        <f t="shared" si="79"/>
        <v>73.979832734158364</v>
      </c>
    </row>
    <row r="1775" spans="1:41" x14ac:dyDescent="0.3">
      <c r="A1775" s="2">
        <v>1.4954786896949841</v>
      </c>
      <c r="B1775" s="2">
        <v>27.429186045804631</v>
      </c>
      <c r="C1775" s="2">
        <v>31.565717183021089</v>
      </c>
      <c r="AN1775" s="3">
        <f t="shared" si="78"/>
        <v>4.6527834008156237</v>
      </c>
      <c r="AO1775" s="3">
        <f t="shared" si="79"/>
        <v>2.4597817662623709</v>
      </c>
    </row>
    <row r="1776" spans="1:41" x14ac:dyDescent="0.3">
      <c r="A1776" s="2">
        <v>13.328875524935849</v>
      </c>
      <c r="B1776" s="2">
        <v>31.90238252914023</v>
      </c>
      <c r="C1776" s="2">
        <v>31.251896079609612</v>
      </c>
      <c r="AN1776" s="3">
        <f t="shared" si="78"/>
        <v>43.95991852746581</v>
      </c>
      <c r="AO1776" s="3">
        <f t="shared" si="79"/>
        <v>1.5738907816738885</v>
      </c>
    </row>
    <row r="1777" spans="1:41" x14ac:dyDescent="0.3">
      <c r="A1777" s="2">
        <v>5.4168133265176053</v>
      </c>
      <c r="B1777" s="2">
        <v>19.98359996546677</v>
      </c>
      <c r="C1777" s="2">
        <v>33.525353594124923</v>
      </c>
      <c r="AN1777" s="3">
        <f t="shared" si="78"/>
        <v>27.968813205241641</v>
      </c>
      <c r="AO1777" s="3">
        <f t="shared" si="79"/>
        <v>12.446823184271373</v>
      </c>
    </row>
    <row r="1778" spans="1:41" x14ac:dyDescent="0.3">
      <c r="A1778" s="2">
        <v>8.3073564086717884</v>
      </c>
      <c r="B1778" s="2">
        <v>26.644228506346849</v>
      </c>
      <c r="C1778" s="2">
        <v>33.850166505760818</v>
      </c>
      <c r="AN1778" s="3">
        <f t="shared" si="78"/>
        <v>1.8825860046701235</v>
      </c>
      <c r="AO1778" s="3">
        <f t="shared" si="79"/>
        <v>14.84421012392106</v>
      </c>
    </row>
    <row r="1779" spans="1:41" x14ac:dyDescent="0.3">
      <c r="A1779" s="2">
        <v>17.347048477421861</v>
      </c>
      <c r="B1779" s="2">
        <v>28.524391972830632</v>
      </c>
      <c r="C1779" s="2">
        <v>26.850158092614031</v>
      </c>
      <c r="AN1779" s="3">
        <f t="shared" si="78"/>
        <v>10.577046033445622</v>
      </c>
      <c r="AO1779" s="3">
        <f t="shared" si="79"/>
        <v>9.9048045699807528</v>
      </c>
    </row>
    <row r="1780" spans="1:41" x14ac:dyDescent="0.3">
      <c r="A1780" s="2">
        <v>8.3785027687979259</v>
      </c>
      <c r="B1780" s="2">
        <v>29.51875368391751</v>
      </c>
      <c r="C1780" s="2">
        <v>32.519945449007629</v>
      </c>
      <c r="AN1780" s="3">
        <f t="shared" si="78"/>
        <v>18.033601304106092</v>
      </c>
      <c r="AO1780" s="3">
        <f t="shared" si="79"/>
        <v>6.3634976838814623</v>
      </c>
    </row>
    <row r="1781" spans="1:41" x14ac:dyDescent="0.3">
      <c r="A1781" s="2">
        <v>14.242070110192911</v>
      </c>
      <c r="B1781" s="2">
        <v>30.575628493981309</v>
      </c>
      <c r="C1781" s="2">
        <v>27.46519288389981</v>
      </c>
      <c r="AN1781" s="3">
        <f t="shared" si="78"/>
        <v>28.126832252645993</v>
      </c>
      <c r="AO1781" s="3">
        <f t="shared" si="79"/>
        <v>6.4118097386306649</v>
      </c>
    </row>
    <row r="1782" spans="1:41" x14ac:dyDescent="0.3">
      <c r="A1782" s="2">
        <v>7.0297639446204343</v>
      </c>
      <c r="B1782" s="2">
        <v>32.4705923317185</v>
      </c>
      <c r="C1782" s="2">
        <v>30.293462700962369</v>
      </c>
      <c r="AN1782" s="3">
        <f t="shared" si="78"/>
        <v>51.817501581322993</v>
      </c>
      <c r="AO1782" s="3">
        <f t="shared" si="79"/>
        <v>8.7683891961386526E-2</v>
      </c>
    </row>
    <row r="1783" spans="1:41" x14ac:dyDescent="0.3">
      <c r="A1783" s="2">
        <v>12.6282803914286</v>
      </c>
      <c r="B1783" s="2">
        <v>24.174033470342842</v>
      </c>
      <c r="C1783" s="2">
        <v>32.479963266762212</v>
      </c>
      <c r="AN1783" s="3">
        <f t="shared" si="78"/>
        <v>1.2058706555152001</v>
      </c>
      <c r="AO1783" s="3">
        <f t="shared" si="79"/>
        <v>6.1633783601652468</v>
      </c>
    </row>
    <row r="1784" spans="1:41" x14ac:dyDescent="0.3">
      <c r="A1784" s="2">
        <v>4.8400185345995119</v>
      </c>
      <c r="B1784" s="2">
        <v>17.93698859335888</v>
      </c>
      <c r="C1784" s="2">
        <v>29.578398355787261</v>
      </c>
      <c r="AN1784" s="3">
        <f t="shared" si="78"/>
        <v>53.804664620790696</v>
      </c>
      <c r="AO1784" s="3">
        <f t="shared" si="79"/>
        <v>0.17551883857466249</v>
      </c>
    </row>
    <row r="1785" spans="1:41" x14ac:dyDescent="0.3">
      <c r="A1785" s="2">
        <v>5.4173897472002057</v>
      </c>
      <c r="B1785" s="2">
        <v>34.455510399021748</v>
      </c>
      <c r="C1785" s="2">
        <v>25.5659579663721</v>
      </c>
      <c r="AN1785" s="3">
        <f t="shared" si="78"/>
        <v>84.33401837827445</v>
      </c>
      <c r="AO1785" s="3">
        <f t="shared" si="79"/>
        <v>19.637217991763382</v>
      </c>
    </row>
    <row r="1786" spans="1:41" x14ac:dyDescent="0.3">
      <c r="A1786" s="2">
        <v>11.80481908977888</v>
      </c>
      <c r="B1786" s="2">
        <v>20.881605806858762</v>
      </c>
      <c r="C1786" s="2">
        <v>31.93589393749081</v>
      </c>
      <c r="AN1786" s="3">
        <f t="shared" si="78"/>
        <v>19.276921264288106</v>
      </c>
      <c r="AO1786" s="3">
        <f t="shared" si="79"/>
        <v>3.7579601935657228</v>
      </c>
    </row>
    <row r="1787" spans="1:41" x14ac:dyDescent="0.3">
      <c r="A1787" s="2">
        <v>10.19596688043497</v>
      </c>
      <c r="B1787" s="2">
        <v>30.55538714699977</v>
      </c>
      <c r="C1787" s="2">
        <v>30.873422946355131</v>
      </c>
      <c r="AN1787" s="3">
        <f t="shared" si="78"/>
        <v>27.912543065981463</v>
      </c>
      <c r="AO1787" s="3">
        <f t="shared" si="79"/>
        <v>0.7675072401384353</v>
      </c>
    </row>
    <row r="1788" spans="1:41" x14ac:dyDescent="0.3">
      <c r="A1788" s="2">
        <v>8.8933396011077654</v>
      </c>
      <c r="B1788" s="2">
        <v>25.49701150360983</v>
      </c>
      <c r="C1788" s="2">
        <v>28.146689527307078</v>
      </c>
      <c r="AN1788" s="3">
        <f t="shared" si="78"/>
        <v>5.0560496027738079E-2</v>
      </c>
      <c r="AO1788" s="3">
        <f t="shared" si="79"/>
        <v>3.4249369335743847</v>
      </c>
    </row>
    <row r="1789" spans="1:41" x14ac:dyDescent="0.3">
      <c r="A1789" s="2">
        <v>3.281944469175099</v>
      </c>
      <c r="B1789" s="2">
        <v>21.964464866731451</v>
      </c>
      <c r="C1789" s="2">
        <v>29.271629889493781</v>
      </c>
      <c r="AN1789" s="3">
        <f t="shared" si="78"/>
        <v>10.940813299685235</v>
      </c>
      <c r="AO1789" s="3">
        <f t="shared" si="79"/>
        <v>0.52666683513945522</v>
      </c>
    </row>
    <row r="1790" spans="1:41" x14ac:dyDescent="0.3">
      <c r="A1790" s="2">
        <v>2.7054036456012289</v>
      </c>
      <c r="B1790" s="2">
        <v>19.080256760709911</v>
      </c>
      <c r="C1790" s="2">
        <v>46.862620502548218</v>
      </c>
      <c r="AN1790" s="3">
        <f t="shared" si="78"/>
        <v>38.339602461579858</v>
      </c>
      <c r="AO1790" s="3">
        <f t="shared" si="79"/>
        <v>284.4374152089066</v>
      </c>
    </row>
    <row r="1791" spans="1:41" x14ac:dyDescent="0.3">
      <c r="A1791" s="2">
        <v>5.9551507728774364</v>
      </c>
      <c r="B1791" s="2">
        <v>34.226088595273758</v>
      </c>
      <c r="C1791" s="2">
        <v>35.15329397543551</v>
      </c>
      <c r="AN1791" s="3">
        <f t="shared" si="78"/>
        <v>80.172928772301489</v>
      </c>
      <c r="AO1791" s="3">
        <f t="shared" si="79"/>
        <v>26.583778480855038</v>
      </c>
    </row>
    <row r="1792" spans="1:41" x14ac:dyDescent="0.3">
      <c r="A1792" s="2">
        <v>9.6474707873253731</v>
      </c>
      <c r="B1792" s="2">
        <v>23.980599371783551</v>
      </c>
      <c r="C1792" s="2">
        <v>33.307917978966202</v>
      </c>
      <c r="AN1792" s="3">
        <f t="shared" si="78"/>
        <v>1.6681156604053284</v>
      </c>
      <c r="AO1792" s="3">
        <f t="shared" si="79"/>
        <v>10.959873315470892</v>
      </c>
    </row>
    <row r="1793" spans="1:41" x14ac:dyDescent="0.3">
      <c r="A1793" s="2">
        <v>2.5896139788890258</v>
      </c>
      <c r="B1793" s="2">
        <v>24.818608249644981</v>
      </c>
      <c r="C1793" s="2">
        <v>34.37672424945039</v>
      </c>
      <c r="AN1793" s="3">
        <f t="shared" si="78"/>
        <v>0.20570455630119866</v>
      </c>
      <c r="AO1793" s="3">
        <f t="shared" si="79"/>
        <v>19.178935976868093</v>
      </c>
    </row>
    <row r="1794" spans="1:41" x14ac:dyDescent="0.3">
      <c r="A1794" s="2">
        <v>0.7717994054848516</v>
      </c>
      <c r="B1794" s="2">
        <v>23.972959219226151</v>
      </c>
      <c r="C1794" s="2">
        <v>36.59560351855724</v>
      </c>
      <c r="AN1794" s="3">
        <f t="shared" si="78"/>
        <v>1.6879093947497807</v>
      </c>
      <c r="AO1794" s="3">
        <f t="shared" si="79"/>
        <v>43.536975349715796</v>
      </c>
    </row>
    <row r="1795" spans="1:41" x14ac:dyDescent="0.3">
      <c r="A1795" s="2">
        <v>16.652346892603759</v>
      </c>
      <c r="B1795" s="2">
        <v>27.76372285705466</v>
      </c>
      <c r="C1795" s="2">
        <v>29.990860335476949</v>
      </c>
      <c r="AN1795" s="3">
        <f t="shared" ref="AN1795:AN1858" si="80">(B1795-$AK$2)^2</f>
        <v>6.2079109271801602</v>
      </c>
      <c r="AO1795" s="3">
        <f t="shared" ref="AO1795:AO1858" si="81">(C1795-$AK$3)^2</f>
        <v>4.2090320395743429E-5</v>
      </c>
    </row>
    <row r="1796" spans="1:41" x14ac:dyDescent="0.3">
      <c r="A1796" s="2">
        <v>6.7833360278601589</v>
      </c>
      <c r="B1796" s="2">
        <v>27.849865800686</v>
      </c>
      <c r="C1796" s="2">
        <v>28.983979920078792</v>
      </c>
      <c r="AN1796" s="3">
        <f t="shared" si="80"/>
        <v>6.6445935315454747</v>
      </c>
      <c r="AO1796" s="3">
        <f t="shared" si="81"/>
        <v>1.0269149480998128</v>
      </c>
    </row>
    <row r="1797" spans="1:41" x14ac:dyDescent="0.3">
      <c r="A1797" s="2">
        <v>13.27907858981964</v>
      </c>
      <c r="B1797" s="2">
        <v>22.718469099251031</v>
      </c>
      <c r="C1797" s="2">
        <v>35.118280013995268</v>
      </c>
      <c r="AN1797" s="3">
        <f t="shared" si="80"/>
        <v>6.5213111253272338</v>
      </c>
      <c r="AO1797" s="3">
        <f t="shared" si="81"/>
        <v>26.223944274064372</v>
      </c>
    </row>
    <row r="1798" spans="1:41" x14ac:dyDescent="0.3">
      <c r="A1798" s="2">
        <v>1.145791952524928</v>
      </c>
      <c r="B1798" s="2">
        <v>19.01361117561995</v>
      </c>
      <c r="C1798" s="2">
        <v>32.386820892343778</v>
      </c>
      <c r="AN1798" s="3">
        <f t="shared" si="80"/>
        <v>39.169369443074331</v>
      </c>
      <c r="AO1798" s="3">
        <f t="shared" si="81"/>
        <v>5.7095805082511255</v>
      </c>
    </row>
    <row r="1799" spans="1:41" x14ac:dyDescent="0.3">
      <c r="A1799" s="2">
        <v>0.36890170708610343</v>
      </c>
      <c r="B1799" s="2">
        <v>27.804753564237991</v>
      </c>
      <c r="C1799" s="2">
        <v>29.18794449559498</v>
      </c>
      <c r="AN1799" s="3">
        <f t="shared" si="80"/>
        <v>6.4140560373595354</v>
      </c>
      <c r="AO1799" s="3">
        <f t="shared" si="81"/>
        <v>0.65513409899507069</v>
      </c>
    </row>
    <row r="1800" spans="1:41" x14ac:dyDescent="0.3">
      <c r="A1800" s="2">
        <v>5.7426037626445039</v>
      </c>
      <c r="B1800" s="2">
        <v>20.46141043227081</v>
      </c>
      <c r="C1800" s="2">
        <v>23.23011417256118</v>
      </c>
      <c r="AN1800" s="3">
        <f t="shared" si="80"/>
        <v>23.143262251614377</v>
      </c>
      <c r="AO1800" s="3">
        <f t="shared" si="81"/>
        <v>45.795454227477137</v>
      </c>
    </row>
    <row r="1801" spans="1:41" x14ac:dyDescent="0.3">
      <c r="A1801" s="2">
        <v>3.038435004419977</v>
      </c>
      <c r="B1801" s="2">
        <v>34.469528869971512</v>
      </c>
      <c r="C1801" s="2">
        <v>32.486877906608008</v>
      </c>
      <c r="AN1801" s="3">
        <f t="shared" si="80"/>
        <v>84.591688100610455</v>
      </c>
      <c r="AO1801" s="3">
        <f t="shared" si="81"/>
        <v>6.1977589527358408</v>
      </c>
    </row>
    <row r="1802" spans="1:41" x14ac:dyDescent="0.3">
      <c r="A1802" s="2">
        <v>15.159895597587269</v>
      </c>
      <c r="B1802" s="2">
        <v>23.711251410194389</v>
      </c>
      <c r="C1802" s="2">
        <v>25.674216107858729</v>
      </c>
      <c r="AN1802" s="3">
        <f t="shared" si="80"/>
        <v>2.4364196778254428</v>
      </c>
      <c r="AO1802" s="3">
        <f t="shared" si="81"/>
        <v>18.68946970964118</v>
      </c>
    </row>
    <row r="1803" spans="1:41" x14ac:dyDescent="0.3">
      <c r="A1803" s="2">
        <v>10.21999758305463</v>
      </c>
      <c r="B1803" s="2">
        <v>27.595829444859689</v>
      </c>
      <c r="C1803" s="2">
        <v>21.382597470979359</v>
      </c>
      <c r="AN1803" s="3">
        <f t="shared" si="80"/>
        <v>5.3994634301197131</v>
      </c>
      <c r="AO1803" s="3">
        <f t="shared" si="81"/>
        <v>74.213927380274185</v>
      </c>
    </row>
    <row r="1804" spans="1:41" x14ac:dyDescent="0.3">
      <c r="A1804" s="2">
        <v>0.18213183006939829</v>
      </c>
      <c r="B1804" s="2">
        <v>20.226952519301019</v>
      </c>
      <c r="C1804" s="2">
        <v>22.510403085244612</v>
      </c>
      <c r="AN1804" s="3">
        <f t="shared" si="80"/>
        <v>25.454066976033246</v>
      </c>
      <c r="AO1804" s="3">
        <f t="shared" si="81"/>
        <v>56.054344767558973</v>
      </c>
    </row>
    <row r="1805" spans="1:41" x14ac:dyDescent="0.3">
      <c r="A1805" s="2">
        <v>7.3679504079168234</v>
      </c>
      <c r="B1805" s="2">
        <v>26.26318811103992</v>
      </c>
      <c r="C1805" s="2">
        <v>39.963644149339927</v>
      </c>
      <c r="AN1805" s="3">
        <f t="shared" si="80"/>
        <v>0.98214684231199523</v>
      </c>
      <c r="AO1805" s="3">
        <f t="shared" si="81"/>
        <v>99.327058123041269</v>
      </c>
    </row>
    <row r="1806" spans="1:41" x14ac:dyDescent="0.3">
      <c r="A1806" s="2">
        <v>9.5306283514703498</v>
      </c>
      <c r="B1806" s="2">
        <v>34.079154743197662</v>
      </c>
      <c r="C1806" s="2">
        <v>22.581167350416699</v>
      </c>
      <c r="AN1806" s="3">
        <f t="shared" si="80"/>
        <v>77.563246388516575</v>
      </c>
      <c r="AO1806" s="3">
        <f t="shared" si="81"/>
        <v>54.999736032456426</v>
      </c>
    </row>
    <row r="1807" spans="1:41" x14ac:dyDescent="0.3">
      <c r="A1807" s="2">
        <v>0.4687273121164745</v>
      </c>
      <c r="B1807" s="2">
        <v>29.384730293507531</v>
      </c>
      <c r="C1807" s="2">
        <v>31.761766563790811</v>
      </c>
      <c r="AN1807" s="3">
        <f t="shared" si="80"/>
        <v>16.913276437530779</v>
      </c>
      <c r="AO1807" s="3">
        <f t="shared" si="81"/>
        <v>3.1131727242630132</v>
      </c>
    </row>
    <row r="1808" spans="1:41" x14ac:dyDescent="0.3">
      <c r="A1808" s="2">
        <v>10.69617411501418</v>
      </c>
      <c r="B1808" s="2">
        <v>24.56606155346395</v>
      </c>
      <c r="C1808" s="2">
        <v>26.487579765187391</v>
      </c>
      <c r="AN1808" s="3">
        <f t="shared" si="80"/>
        <v>0.4985678019616539</v>
      </c>
      <c r="AO1808" s="3">
        <f t="shared" si="81"/>
        <v>12.318473348516722</v>
      </c>
    </row>
    <row r="1809" spans="1:41" x14ac:dyDescent="0.3">
      <c r="A1809" s="2">
        <v>10.297354939677721</v>
      </c>
      <c r="B1809" s="2">
        <v>36.863269256805999</v>
      </c>
      <c r="C1809" s="2">
        <v>25.69657382068381</v>
      </c>
      <c r="AN1809" s="3">
        <f t="shared" si="80"/>
        <v>134.35393223054271</v>
      </c>
      <c r="AO1809" s="3">
        <f t="shared" si="81"/>
        <v>18.496658892440554</v>
      </c>
    </row>
    <row r="1810" spans="1:41" x14ac:dyDescent="0.3">
      <c r="A1810" s="2">
        <v>5.6925978332468858</v>
      </c>
      <c r="B1810" s="2">
        <v>20.85880827741655</v>
      </c>
      <c r="C1810" s="2">
        <v>23.664714957659928</v>
      </c>
      <c r="AN1810" s="3">
        <f t="shared" si="80"/>
        <v>19.477628335684095</v>
      </c>
      <c r="AO1810" s="3">
        <f t="shared" si="81"/>
        <v>40.102241765716244</v>
      </c>
    </row>
    <row r="1811" spans="1:41" x14ac:dyDescent="0.3">
      <c r="A1811" s="2">
        <v>19.730671642635961</v>
      </c>
      <c r="B1811" s="2">
        <v>20.02211605495301</v>
      </c>
      <c r="C1811" s="2">
        <v>28.537489385631659</v>
      </c>
      <c r="AN1811" s="3">
        <f t="shared" si="80"/>
        <v>27.562907784826091</v>
      </c>
      <c r="AO1811" s="3">
        <f t="shared" si="81"/>
        <v>2.1311872930782427</v>
      </c>
    </row>
    <row r="1812" spans="1:41" x14ac:dyDescent="0.3">
      <c r="A1812" s="2">
        <v>2.2919786133377058</v>
      </c>
      <c r="B1812" s="2">
        <v>25.40906317645014</v>
      </c>
      <c r="C1812" s="2">
        <v>26.30851405787498</v>
      </c>
      <c r="AN1812" s="3">
        <f t="shared" si="80"/>
        <v>1.8743878499086816E-2</v>
      </c>
      <c r="AO1812" s="3">
        <f t="shared" si="81"/>
        <v>13.607496153603503</v>
      </c>
    </row>
    <row r="1813" spans="1:41" x14ac:dyDescent="0.3">
      <c r="A1813" s="2">
        <v>3.30133578560448</v>
      </c>
      <c r="B1813" s="2">
        <v>18.280097606165349</v>
      </c>
      <c r="C1813" s="2">
        <v>27.220144847021899</v>
      </c>
      <c r="AN1813" s="3">
        <f t="shared" si="80"/>
        <v>48.888865080834577</v>
      </c>
      <c r="AO1813" s="3">
        <f t="shared" si="81"/>
        <v>7.7128575795471219</v>
      </c>
    </row>
    <row r="1814" spans="1:41" x14ac:dyDescent="0.3">
      <c r="A1814" s="2">
        <v>12.85762023129011</v>
      </c>
      <c r="B1814" s="2">
        <v>22.305034729939841</v>
      </c>
      <c r="C1814" s="2">
        <v>26.008164336104731</v>
      </c>
      <c r="AN1814" s="3">
        <f t="shared" si="80"/>
        <v>8.8038020528962608</v>
      </c>
      <c r="AO1814" s="3">
        <f t="shared" si="81"/>
        <v>15.913586629829025</v>
      </c>
    </row>
    <row r="1815" spans="1:41" x14ac:dyDescent="0.3">
      <c r="A1815" s="2">
        <v>8.5024338878259691</v>
      </c>
      <c r="B1815" s="2">
        <v>31.478472336009141</v>
      </c>
      <c r="C1815" s="2">
        <v>38.539654444662361</v>
      </c>
      <c r="AN1815" s="3">
        <f t="shared" si="80"/>
        <v>38.518376222521574</v>
      </c>
      <c r="AO1815" s="3">
        <f t="shared" si="81"/>
        <v>72.970998697419176</v>
      </c>
    </row>
    <row r="1816" spans="1:41" x14ac:dyDescent="0.3">
      <c r="A1816" s="2">
        <v>11.08025811271626</v>
      </c>
      <c r="B1816" s="2">
        <v>24.584845388799319</v>
      </c>
      <c r="C1816" s="2">
        <v>28.700338419907752</v>
      </c>
      <c r="AN1816" s="3">
        <f t="shared" si="80"/>
        <v>0.47239435244694139</v>
      </c>
      <c r="AO1816" s="3">
        <f t="shared" si="81"/>
        <v>1.6822339566944506</v>
      </c>
    </row>
    <row r="1817" spans="1:41" x14ac:dyDescent="0.3">
      <c r="A1817" s="2">
        <v>10.75888779038868</v>
      </c>
      <c r="B1817" s="2">
        <v>26.5123551024443</v>
      </c>
      <c r="C1817" s="2">
        <v>34.289876825720938</v>
      </c>
      <c r="AN1817" s="3">
        <f t="shared" si="80"/>
        <v>1.5380965633268195</v>
      </c>
      <c r="AO1817" s="3">
        <f t="shared" si="81"/>
        <v>18.425803369350348</v>
      </c>
    </row>
    <row r="1818" spans="1:41" x14ac:dyDescent="0.3">
      <c r="A1818" s="2">
        <v>4.1483385388478862</v>
      </c>
      <c r="B1818" s="2">
        <v>22.968469661642331</v>
      </c>
      <c r="C1818" s="2">
        <v>29.552754182106881</v>
      </c>
      <c r="AN1818" s="3">
        <f t="shared" si="80"/>
        <v>5.3069656380776378</v>
      </c>
      <c r="AO1818" s="3">
        <f t="shared" si="81"/>
        <v>0.19766369919017265</v>
      </c>
    </row>
    <row r="1819" spans="1:41" x14ac:dyDescent="0.3">
      <c r="A1819" s="2">
        <v>31.10255975651631</v>
      </c>
      <c r="B1819" s="2">
        <v>30.826666321696969</v>
      </c>
      <c r="C1819" s="2">
        <v>30.640771441360531</v>
      </c>
      <c r="AN1819" s="3">
        <f t="shared" si="80"/>
        <v>30.852597228639045</v>
      </c>
      <c r="AO1819" s="3">
        <f t="shared" si="81"/>
        <v>0.4139936723852084</v>
      </c>
    </row>
    <row r="1820" spans="1:41" x14ac:dyDescent="0.3">
      <c r="A1820" s="2">
        <v>1.2681188659262601</v>
      </c>
      <c r="B1820" s="2">
        <v>34.029842134263014</v>
      </c>
      <c r="C1820" s="2">
        <v>35.814288242846317</v>
      </c>
      <c r="AN1820" s="3">
        <f t="shared" si="80"/>
        <v>76.697085842763954</v>
      </c>
      <c r="AO1820" s="3">
        <f t="shared" si="81"/>
        <v>33.836793314149467</v>
      </c>
    </row>
    <row r="1821" spans="1:41" x14ac:dyDescent="0.3">
      <c r="A1821" s="2">
        <v>6.649187957705756</v>
      </c>
      <c r="B1821" s="2">
        <v>29.257179107401921</v>
      </c>
      <c r="C1821" s="2">
        <v>26.76222559791637</v>
      </c>
      <c r="AN1821" s="3">
        <f t="shared" si="80"/>
        <v>15.880418001647758</v>
      </c>
      <c r="AO1821" s="3">
        <f t="shared" si="81"/>
        <v>10.466017220467798</v>
      </c>
    </row>
    <row r="1822" spans="1:41" x14ac:dyDescent="0.3">
      <c r="A1822" s="2">
        <v>2.827259410262549</v>
      </c>
      <c r="B1822" s="2">
        <v>31.118423966490798</v>
      </c>
      <c r="C1822" s="2">
        <v>24.01104962958506</v>
      </c>
      <c r="AN1822" s="3">
        <f t="shared" si="80"/>
        <v>34.178862097667682</v>
      </c>
      <c r="AO1822" s="3">
        <f t="shared" si="81"/>
        <v>35.83576866814866</v>
      </c>
    </row>
    <row r="1823" spans="1:41" x14ac:dyDescent="0.3">
      <c r="A1823" s="2">
        <v>29.106639393002229</v>
      </c>
      <c r="B1823" s="2">
        <v>27.17092180640033</v>
      </c>
      <c r="C1823" s="2">
        <v>32.485946580252183</v>
      </c>
      <c r="AN1823" s="3">
        <f t="shared" si="80"/>
        <v>3.6053157972740348</v>
      </c>
      <c r="AO1823" s="3">
        <f t="shared" si="81"/>
        <v>6.1931226905493437</v>
      </c>
    </row>
    <row r="1824" spans="1:41" x14ac:dyDescent="0.3">
      <c r="A1824" s="2">
        <v>2.8675023684093932</v>
      </c>
      <c r="B1824" s="2">
        <v>26.018667461527961</v>
      </c>
      <c r="C1824" s="2">
        <v>32.190853299916483</v>
      </c>
      <c r="AN1824" s="3">
        <f t="shared" si="80"/>
        <v>0.55728101727026658</v>
      </c>
      <c r="AO1824" s="3">
        <f t="shared" si="81"/>
        <v>4.8114653217591616</v>
      </c>
    </row>
    <row r="1825" spans="1:41" x14ac:dyDescent="0.3">
      <c r="A1825" s="2">
        <v>6.3424517390172843</v>
      </c>
      <c r="B1825" s="2">
        <v>23.335582864286661</v>
      </c>
      <c r="C1825" s="2">
        <v>20.961329770309419</v>
      </c>
      <c r="AN1825" s="3">
        <f t="shared" si="80"/>
        <v>3.7503112164281989</v>
      </c>
      <c r="AO1825" s="3">
        <f t="shared" si="81"/>
        <v>81.649626184691115</v>
      </c>
    </row>
    <row r="1826" spans="1:41" x14ac:dyDescent="0.3">
      <c r="A1826" s="2">
        <v>12.9125643878779</v>
      </c>
      <c r="B1826" s="2">
        <v>35.391125099765567</v>
      </c>
      <c r="C1826" s="2">
        <v>31.025622682471571</v>
      </c>
      <c r="AN1826" s="3">
        <f t="shared" si="80"/>
        <v>102.39355807658637</v>
      </c>
      <c r="AO1826" s="3">
        <f t="shared" si="81"/>
        <v>1.0573487386989338</v>
      </c>
    </row>
    <row r="1827" spans="1:41" x14ac:dyDescent="0.3">
      <c r="A1827" s="2">
        <v>7.2222510065830354</v>
      </c>
      <c r="B1827" s="2">
        <v>26.148175582040579</v>
      </c>
      <c r="C1827" s="2">
        <v>30.195834956148389</v>
      </c>
      <c r="AN1827" s="3">
        <f t="shared" si="80"/>
        <v>0.76741225032620664</v>
      </c>
      <c r="AO1827" s="3">
        <f t="shared" si="81"/>
        <v>3.9397055563386407E-2</v>
      </c>
    </row>
    <row r="1828" spans="1:41" x14ac:dyDescent="0.3">
      <c r="A1828" s="2">
        <v>0.93414357009758953</v>
      </c>
      <c r="B1828" s="2">
        <v>31.78407854483698</v>
      </c>
      <c r="C1828" s="2">
        <v>24.537645325428961</v>
      </c>
      <c r="AN1828" s="3">
        <f t="shared" si="80"/>
        <v>42.405149667417518</v>
      </c>
      <c r="AO1828" s="3">
        <f t="shared" si="81"/>
        <v>29.808353740261026</v>
      </c>
    </row>
    <row r="1829" spans="1:41" x14ac:dyDescent="0.3">
      <c r="A1829" s="2">
        <v>4.3511953453514414</v>
      </c>
      <c r="B1829" s="2">
        <v>24.778439570616388</v>
      </c>
      <c r="C1829" s="2">
        <v>25.5100141901207</v>
      </c>
      <c r="AN1829" s="3">
        <f t="shared" si="80"/>
        <v>0.24375481803518542</v>
      </c>
      <c r="AO1829" s="3">
        <f t="shared" si="81"/>
        <v>20.136165087477909</v>
      </c>
    </row>
    <row r="1830" spans="1:41" x14ac:dyDescent="0.3">
      <c r="A1830" s="2">
        <v>15.89991445059276</v>
      </c>
      <c r="B1830" s="2">
        <v>15.845420830692211</v>
      </c>
      <c r="C1830" s="2">
        <v>33.276563262431793</v>
      </c>
      <c r="AN1830" s="3">
        <f t="shared" si="80"/>
        <v>88.863315052429556</v>
      </c>
      <c r="AO1830" s="3">
        <f t="shared" si="81"/>
        <v>10.753252469762948</v>
      </c>
    </row>
    <row r="1831" spans="1:41" x14ac:dyDescent="0.3">
      <c r="A1831" s="2">
        <v>15.14960058811349</v>
      </c>
      <c r="B1831" s="2">
        <v>19.04012190173643</v>
      </c>
      <c r="C1831" s="2">
        <v>29.156791188816101</v>
      </c>
      <c r="AN1831" s="3">
        <f t="shared" si="80"/>
        <v>38.838235184996265</v>
      </c>
      <c r="AO1831" s="3">
        <f t="shared" si="81"/>
        <v>0.70653582142187643</v>
      </c>
    </row>
    <row r="1832" spans="1:41" x14ac:dyDescent="0.3">
      <c r="A1832" s="2">
        <v>3.0672853081962259</v>
      </c>
      <c r="B1832" s="2">
        <v>28.646608102478741</v>
      </c>
      <c r="C1832" s="2">
        <v>23.7253647897912</v>
      </c>
      <c r="AN1832" s="3">
        <f t="shared" si="80"/>
        <v>11.386934473358277</v>
      </c>
      <c r="AO1832" s="3">
        <f t="shared" si="81"/>
        <v>39.337773900970681</v>
      </c>
    </row>
    <row r="1833" spans="1:41" x14ac:dyDescent="0.3">
      <c r="A1833" s="2">
        <v>0.33718545569900871</v>
      </c>
      <c r="B1833" s="2">
        <v>21.21921755481991</v>
      </c>
      <c r="C1833" s="2">
        <v>36.128263010401703</v>
      </c>
      <c r="AN1833" s="3">
        <f t="shared" si="80"/>
        <v>16.426301054726963</v>
      </c>
      <c r="AO1833" s="3">
        <f t="shared" si="81"/>
        <v>37.58811836445129</v>
      </c>
    </row>
    <row r="1834" spans="1:41" x14ac:dyDescent="0.3">
      <c r="A1834" s="2">
        <v>13.60565858593972</v>
      </c>
      <c r="B1834" s="2">
        <v>24.545772402903399</v>
      </c>
      <c r="C1834" s="2">
        <v>36.280913288733117</v>
      </c>
      <c r="AN1834" s="3">
        <f t="shared" si="80"/>
        <v>0.52763151968090838</v>
      </c>
      <c r="AO1834" s="3">
        <f t="shared" si="81"/>
        <v>39.483192224996941</v>
      </c>
    </row>
    <row r="1835" spans="1:41" x14ac:dyDescent="0.3">
      <c r="A1835" s="2">
        <v>10.978238032236909</v>
      </c>
      <c r="B1835" s="2">
        <v>28.47792884504236</v>
      </c>
      <c r="C1835" s="2">
        <v>30.477539889978651</v>
      </c>
      <c r="AN1835" s="3">
        <f t="shared" si="80"/>
        <v>10.276986641470483</v>
      </c>
      <c r="AO1835" s="3">
        <f t="shared" si="81"/>
        <v>0.23058421201487375</v>
      </c>
    </row>
    <row r="1836" spans="1:41" x14ac:dyDescent="0.3">
      <c r="A1836" s="2">
        <v>9.4608972665488231</v>
      </c>
      <c r="B1836" s="2">
        <v>28.389292490642241</v>
      </c>
      <c r="C1836" s="2">
        <v>25.14354741224755</v>
      </c>
      <c r="AN1836" s="3">
        <f t="shared" si="80"/>
        <v>9.7165468122389385</v>
      </c>
      <c r="AO1836" s="3">
        <f t="shared" si="81"/>
        <v>23.559380541763844</v>
      </c>
    </row>
    <row r="1837" spans="1:41" x14ac:dyDescent="0.3">
      <c r="A1837" s="2">
        <v>4.1719684145820617</v>
      </c>
      <c r="B1837" s="2">
        <v>26.239179289399971</v>
      </c>
      <c r="C1837" s="2">
        <v>30.929186555531409</v>
      </c>
      <c r="AN1837" s="3">
        <f t="shared" si="80"/>
        <v>0.93513618621219075</v>
      </c>
      <c r="AO1837" s="3">
        <f t="shared" si="81"/>
        <v>0.86832301753152408</v>
      </c>
    </row>
    <row r="1838" spans="1:41" x14ac:dyDescent="0.3">
      <c r="A1838" s="2">
        <v>24.54947911119854</v>
      </c>
      <c r="B1838" s="2">
        <v>26.781947316665011</v>
      </c>
      <c r="C1838" s="2">
        <v>28.29570522021282</v>
      </c>
      <c r="AN1838" s="3">
        <f t="shared" si="80"/>
        <v>2.2794731672080344</v>
      </c>
      <c r="AO1838" s="3">
        <f t="shared" si="81"/>
        <v>2.8955882888655968</v>
      </c>
    </row>
    <row r="1839" spans="1:41" x14ac:dyDescent="0.3">
      <c r="A1839" s="2">
        <v>0.39126902386194939</v>
      </c>
      <c r="B1839" s="2">
        <v>24.980968063059461</v>
      </c>
      <c r="C1839" s="2">
        <v>32.871260550901397</v>
      </c>
      <c r="AN1839" s="3">
        <f t="shared" si="80"/>
        <v>8.4789769033655635E-2</v>
      </c>
      <c r="AO1839" s="3">
        <f t="shared" si="81"/>
        <v>8.2593731157009227</v>
      </c>
    </row>
    <row r="1840" spans="1:41" x14ac:dyDescent="0.3">
      <c r="A1840" s="2">
        <v>16.63299820923995</v>
      </c>
      <c r="B1840" s="2">
        <v>28.287018664671049</v>
      </c>
      <c r="C1840" s="2">
        <v>25.342639512776429</v>
      </c>
      <c r="AN1840" s="3">
        <f t="shared" si="80"/>
        <v>9.089403571023567</v>
      </c>
      <c r="AO1840" s="3">
        <f t="shared" si="81"/>
        <v>21.666311480881902</v>
      </c>
    </row>
    <row r="1841" spans="1:41" x14ac:dyDescent="0.3">
      <c r="A1841" s="2">
        <v>17.97282464014911</v>
      </c>
      <c r="B1841" s="2">
        <v>23.564057659190059</v>
      </c>
      <c r="C1841" s="2">
        <v>26.275848528089188</v>
      </c>
      <c r="AN1841" s="3">
        <f t="shared" si="80"/>
        <v>2.9175961548864171</v>
      </c>
      <c r="AO1841" s="3">
        <f t="shared" si="81"/>
        <v>13.849558623128033</v>
      </c>
    </row>
    <row r="1842" spans="1:41" x14ac:dyDescent="0.3">
      <c r="A1842" s="2">
        <v>12.565484137411341</v>
      </c>
      <c r="B1842" s="2">
        <v>22.252787410402821</v>
      </c>
      <c r="C1842" s="2">
        <v>36.121256551607694</v>
      </c>
      <c r="AN1842" s="3">
        <f t="shared" si="80"/>
        <v>9.1165799856623657</v>
      </c>
      <c r="AO1842" s="3">
        <f t="shared" si="81"/>
        <v>37.502255448707977</v>
      </c>
    </row>
    <row r="1843" spans="1:41" x14ac:dyDescent="0.3">
      <c r="A1843" s="2">
        <v>32.161786214276447</v>
      </c>
      <c r="B1843" s="2">
        <v>35.040765601569618</v>
      </c>
      <c r="C1843" s="2">
        <v>32.746284210272293</v>
      </c>
      <c r="AN1843" s="3">
        <f t="shared" si="80"/>
        <v>95.425755205678712</v>
      </c>
      <c r="AO1843" s="3">
        <f t="shared" si="81"/>
        <v>7.5566500638173268</v>
      </c>
    </row>
    <row r="1844" spans="1:41" x14ac:dyDescent="0.3">
      <c r="A1844" s="2">
        <v>0.12507854834040491</v>
      </c>
      <c r="B1844" s="2">
        <v>26.731316274803241</v>
      </c>
      <c r="C1844" s="2">
        <v>30.236153799358071</v>
      </c>
      <c r="AN1844" s="3">
        <f t="shared" si="80"/>
        <v>2.129151942641712</v>
      </c>
      <c r="AO1844" s="3">
        <f t="shared" si="81"/>
        <v>5.7028190319133878E-2</v>
      </c>
    </row>
    <row r="1845" spans="1:41" x14ac:dyDescent="0.3">
      <c r="A1845" s="2">
        <v>4.7723147723065518</v>
      </c>
      <c r="B1845" s="2">
        <v>31.012770416731719</v>
      </c>
      <c r="C1845" s="2">
        <v>33.595135272334723</v>
      </c>
      <c r="AN1845" s="3">
        <f t="shared" si="80"/>
        <v>32.954666608996796</v>
      </c>
      <c r="AO1845" s="3">
        <f t="shared" si="81"/>
        <v>12.944072963373767</v>
      </c>
    </row>
    <row r="1846" spans="1:41" x14ac:dyDescent="0.3">
      <c r="A1846" s="2">
        <v>13.35530949591112</v>
      </c>
      <c r="B1846" s="2">
        <v>33.456719655716768</v>
      </c>
      <c r="C1846" s="2">
        <v>29.897409880209938</v>
      </c>
      <c r="AN1846" s="3">
        <f t="shared" si="80"/>
        <v>66.987100380322133</v>
      </c>
      <c r="AO1846" s="3">
        <f t="shared" si="81"/>
        <v>9.9876359426948787E-3</v>
      </c>
    </row>
    <row r="1847" spans="1:41" x14ac:dyDescent="0.3">
      <c r="A1847" s="2">
        <v>19.498011238381672</v>
      </c>
      <c r="B1847" s="2">
        <v>22.34125092612112</v>
      </c>
      <c r="C1847" s="2">
        <v>35.771934047904978</v>
      </c>
      <c r="AN1847" s="3">
        <f t="shared" si="80"/>
        <v>8.5901980540360565</v>
      </c>
      <c r="AO1847" s="3">
        <f t="shared" si="81"/>
        <v>33.345843553419677</v>
      </c>
    </row>
    <row r="1848" spans="1:41" x14ac:dyDescent="0.3">
      <c r="A1848" s="2">
        <v>1.9140210703244529</v>
      </c>
      <c r="B1848" s="2">
        <v>26.506533091660831</v>
      </c>
      <c r="C1848" s="2">
        <v>25.338065179419601</v>
      </c>
      <c r="AN1848" s="3">
        <f t="shared" si="80"/>
        <v>1.5236895411323552</v>
      </c>
      <c r="AO1848" s="3">
        <f t="shared" si="81"/>
        <v>21.708916782379688</v>
      </c>
    </row>
    <row r="1849" spans="1:41" x14ac:dyDescent="0.3">
      <c r="A1849" s="2">
        <v>22.70721554052027</v>
      </c>
      <c r="B1849" s="2">
        <v>20.671166995946649</v>
      </c>
      <c r="C1849" s="2">
        <v>34.137169791756378</v>
      </c>
      <c r="AN1849" s="3">
        <f t="shared" si="80"/>
        <v>21.169089614655483</v>
      </c>
      <c r="AO1849" s="3">
        <f t="shared" si="81"/>
        <v>17.138124129667922</v>
      </c>
    </row>
    <row r="1850" spans="1:41" x14ac:dyDescent="0.3">
      <c r="A1850" s="2">
        <v>0.35248217581097629</v>
      </c>
      <c r="B1850" s="2">
        <v>22.447378691683809</v>
      </c>
      <c r="C1850" s="2">
        <v>25.33265227092642</v>
      </c>
      <c r="AN1850" s="3">
        <f t="shared" si="80"/>
        <v>7.9793605788190138</v>
      </c>
      <c r="AO1850" s="3">
        <f t="shared" si="81"/>
        <v>21.759386625503069</v>
      </c>
    </row>
    <row r="1851" spans="1:41" x14ac:dyDescent="0.3">
      <c r="A1851" s="2">
        <v>10.77532518434764</v>
      </c>
      <c r="B1851" s="2">
        <v>22.60385218553937</v>
      </c>
      <c r="C1851" s="2">
        <v>21.187562840514929</v>
      </c>
      <c r="AN1851" s="3">
        <f t="shared" si="80"/>
        <v>7.1198393304205174</v>
      </c>
      <c r="AO1851" s="3">
        <f t="shared" si="81"/>
        <v>77.612315275212111</v>
      </c>
    </row>
    <row r="1852" spans="1:41" x14ac:dyDescent="0.3">
      <c r="A1852" s="2">
        <v>6.5741638587909614</v>
      </c>
      <c r="B1852" s="2">
        <v>21.523815246929171</v>
      </c>
      <c r="C1852" s="2">
        <v>19.921490870430549</v>
      </c>
      <c r="AN1852" s="3">
        <f t="shared" si="80"/>
        <v>14.050050090757514</v>
      </c>
      <c r="AO1852" s="3">
        <f t="shared" si="81"/>
        <v>101.52289771774294</v>
      </c>
    </row>
    <row r="1853" spans="1:41" x14ac:dyDescent="0.3">
      <c r="A1853" s="2">
        <v>3.3547148769882291</v>
      </c>
      <c r="B1853" s="2">
        <v>27.134148119591028</v>
      </c>
      <c r="C1853" s="2">
        <v>27.156899429742879</v>
      </c>
      <c r="AN1853" s="3">
        <f t="shared" si="80"/>
        <v>3.4670187816077873</v>
      </c>
      <c r="AO1853" s="3">
        <f t="shared" si="81"/>
        <v>8.0681483120725286</v>
      </c>
    </row>
    <row r="1854" spans="1:41" x14ac:dyDescent="0.3">
      <c r="A1854" s="2">
        <v>2.1828008837775821</v>
      </c>
      <c r="B1854" s="2">
        <v>27.393156518393869</v>
      </c>
      <c r="C1854" s="2">
        <v>30.571178580874491</v>
      </c>
      <c r="AN1854" s="3">
        <f t="shared" si="80"/>
        <v>4.4986479014583756</v>
      </c>
      <c r="AO1854" s="3">
        <f t="shared" si="81"/>
        <v>0.32928148871890994</v>
      </c>
    </row>
    <row r="1855" spans="1:41" x14ac:dyDescent="0.3">
      <c r="A1855" s="2">
        <v>35.173764923923322</v>
      </c>
      <c r="B1855" s="2">
        <v>19.951210229589901</v>
      </c>
      <c r="C1855" s="2">
        <v>29.59754739319807</v>
      </c>
      <c r="AN1855" s="3">
        <f t="shared" si="80"/>
        <v>28.31245209467825</v>
      </c>
      <c r="AO1855" s="3">
        <f t="shared" si="81"/>
        <v>0.15984055782520251</v>
      </c>
    </row>
    <row r="1856" spans="1:41" x14ac:dyDescent="0.3">
      <c r="A1856" s="2">
        <v>21.223609707140309</v>
      </c>
      <c r="B1856" s="2">
        <v>29.336953735929111</v>
      </c>
      <c r="C1856" s="2">
        <v>36.593440226396567</v>
      </c>
      <c r="AN1856" s="3">
        <f t="shared" si="80"/>
        <v>16.522589646001741</v>
      </c>
      <c r="AO1856" s="3">
        <f t="shared" si="81"/>
        <v>43.508432120850472</v>
      </c>
    </row>
    <row r="1857" spans="1:41" x14ac:dyDescent="0.3">
      <c r="A1857" s="2">
        <v>3.513999682288369</v>
      </c>
      <c r="B1857" s="2">
        <v>27.905678051101699</v>
      </c>
      <c r="C1857" s="2">
        <v>31.57416301622321</v>
      </c>
      <c r="AN1857" s="3">
        <f t="shared" si="80"/>
        <v>6.9354442323719967</v>
      </c>
      <c r="AO1857" s="3">
        <f t="shared" si="81"/>
        <v>2.4863454667099054</v>
      </c>
    </row>
    <row r="1858" spans="1:41" x14ac:dyDescent="0.3">
      <c r="A1858" s="2">
        <v>2.7929146124407609</v>
      </c>
      <c r="B1858" s="2">
        <v>19.16623060053055</v>
      </c>
      <c r="C1858" s="2">
        <v>30.47257250206194</v>
      </c>
      <c r="AN1858" s="3">
        <f t="shared" si="80"/>
        <v>37.282311446555809</v>
      </c>
      <c r="AO1858" s="3">
        <f t="shared" si="81"/>
        <v>0.22583828857899096</v>
      </c>
    </row>
    <row r="1859" spans="1:41" x14ac:dyDescent="0.3">
      <c r="A1859" s="2">
        <v>12.496994312907569</v>
      </c>
      <c r="B1859" s="2">
        <v>22.75380059255539</v>
      </c>
      <c r="C1859" s="2">
        <v>20.554618937022319</v>
      </c>
      <c r="AN1859" s="3">
        <f t="shared" ref="AN1859:AN1922" si="82">(B1859-$AK$2)^2</f>
        <v>6.342108374808654</v>
      </c>
      <c r="AO1859" s="3">
        <f t="shared" ref="AO1859:AO1922" si="83">(C1859-$AK$3)^2</f>
        <v>89.165132927383894</v>
      </c>
    </row>
    <row r="1860" spans="1:41" x14ac:dyDescent="0.3">
      <c r="A1860" s="2">
        <v>9.0023021397209995</v>
      </c>
      <c r="B1860" s="2">
        <v>21.54652514577527</v>
      </c>
      <c r="C1860" s="2">
        <v>31.191770512133161</v>
      </c>
      <c r="AN1860" s="3">
        <f t="shared" si="82"/>
        <v>13.880317001926905</v>
      </c>
      <c r="AO1860" s="3">
        <f t="shared" si="83"/>
        <v>1.4266450400188035</v>
      </c>
    </row>
    <row r="1861" spans="1:41" x14ac:dyDescent="0.3">
      <c r="A1861" s="2">
        <v>14.412328716112549</v>
      </c>
      <c r="B1861" s="2">
        <v>23.279809221788671</v>
      </c>
      <c r="C1861" s="2">
        <v>33.923146411040364</v>
      </c>
      <c r="AN1861" s="3">
        <f t="shared" si="82"/>
        <v>3.9694412674559776</v>
      </c>
      <c r="AO1861" s="3">
        <f t="shared" si="83"/>
        <v>15.411892843759507</v>
      </c>
    </row>
    <row r="1862" spans="1:41" x14ac:dyDescent="0.3">
      <c r="A1862" s="2">
        <v>1.9193780237671869</v>
      </c>
      <c r="B1862" s="2">
        <v>33.511166405929913</v>
      </c>
      <c r="C1862" s="2">
        <v>30.947380144582091</v>
      </c>
      <c r="AN1862" s="3">
        <f t="shared" si="82"/>
        <v>67.881310735576562</v>
      </c>
      <c r="AO1862" s="3">
        <f t="shared" si="83"/>
        <v>0.90256099821120794</v>
      </c>
    </row>
    <row r="1863" spans="1:41" x14ac:dyDescent="0.3">
      <c r="A1863" s="2">
        <v>13.464879922727871</v>
      </c>
      <c r="B1863" s="2">
        <v>18.893942911780929</v>
      </c>
      <c r="C1863" s="2">
        <v>32.119790644684791</v>
      </c>
      <c r="AN1863" s="3">
        <f t="shared" si="82"/>
        <v>40.681588057714833</v>
      </c>
      <c r="AO1863" s="3">
        <f t="shared" si="83"/>
        <v>4.5047626067731477</v>
      </c>
    </row>
    <row r="1864" spans="1:41" x14ac:dyDescent="0.3">
      <c r="A1864" s="2">
        <v>6.564823097862245</v>
      </c>
      <c r="B1864" s="2">
        <v>30.943073645483601</v>
      </c>
      <c r="C1864" s="2">
        <v>36.095877224079558</v>
      </c>
      <c r="AN1864" s="3">
        <f t="shared" si="82"/>
        <v>32.15931951474262</v>
      </c>
      <c r="AO1864" s="3">
        <f t="shared" si="83"/>
        <v>37.192058199277653</v>
      </c>
    </row>
    <row r="1865" spans="1:41" x14ac:dyDescent="0.3">
      <c r="A1865" s="2">
        <v>0.43212257508381929</v>
      </c>
      <c r="B1865" s="2">
        <v>24.80784657842819</v>
      </c>
      <c r="C1865" s="2">
        <v>27.799116944615641</v>
      </c>
      <c r="AN1865" s="3">
        <f t="shared" si="82"/>
        <v>0.21558220954995141</v>
      </c>
      <c r="AO1865" s="3">
        <f t="shared" si="83"/>
        <v>4.8322199522444267</v>
      </c>
    </row>
    <row r="1866" spans="1:41" x14ac:dyDescent="0.3">
      <c r="A1866" s="2">
        <v>19.594635077309562</v>
      </c>
      <c r="B1866" s="2">
        <v>24.892994350245729</v>
      </c>
      <c r="C1866" s="2">
        <v>37.868686718141781</v>
      </c>
      <c r="AN1866" s="3">
        <f t="shared" si="82"/>
        <v>0.14376271601349572</v>
      </c>
      <c r="AO1866" s="3">
        <f t="shared" si="83"/>
        <v>61.957972573371769</v>
      </c>
    </row>
    <row r="1867" spans="1:41" x14ac:dyDescent="0.3">
      <c r="A1867" s="2">
        <v>26.74633041115213</v>
      </c>
      <c r="B1867" s="2">
        <v>26.52597170146203</v>
      </c>
      <c r="C1867" s="2">
        <v>35.354694866452533</v>
      </c>
      <c r="AN1867" s="3">
        <f t="shared" si="82"/>
        <v>1.5720565930449995</v>
      </c>
      <c r="AO1867" s="3">
        <f t="shared" si="83"/>
        <v>28.70116501029872</v>
      </c>
    </row>
    <row r="1868" spans="1:41" x14ac:dyDescent="0.3">
      <c r="A1868" s="2">
        <v>7.484719270782616</v>
      </c>
      <c r="B1868" s="2">
        <v>26.716400228525639</v>
      </c>
      <c r="C1868" s="2">
        <v>23.004641135942901</v>
      </c>
      <c r="AN1868" s="3">
        <f t="shared" si="82"/>
        <v>2.0858445936373777</v>
      </c>
      <c r="AO1868" s="3">
        <f t="shared" si="83"/>
        <v>48.897949857276032</v>
      </c>
    </row>
    <row r="1869" spans="1:41" x14ac:dyDescent="0.3">
      <c r="A1869" s="2">
        <v>13.45310414144339</v>
      </c>
      <c r="B1869" s="2">
        <v>25.035429236575229</v>
      </c>
      <c r="C1869" s="2">
        <v>22.41734664351058</v>
      </c>
      <c r="AN1869" s="3">
        <f t="shared" si="82"/>
        <v>5.6039035680371892E-2</v>
      </c>
      <c r="AO1869" s="3">
        <f t="shared" si="83"/>
        <v>57.456421182952788</v>
      </c>
    </row>
    <row r="1870" spans="1:41" x14ac:dyDescent="0.3">
      <c r="A1870" s="2">
        <v>19.655487686897828</v>
      </c>
      <c r="B1870" s="2">
        <v>17.634215611581379</v>
      </c>
      <c r="C1870" s="2">
        <v>26.210432572813609</v>
      </c>
      <c r="AN1870" s="3">
        <f t="shared" si="82"/>
        <v>58.338116443104632</v>
      </c>
      <c r="AO1870" s="3">
        <f t="shared" si="83"/>
        <v>14.340728761696184</v>
      </c>
    </row>
    <row r="1871" spans="1:41" x14ac:dyDescent="0.3">
      <c r="A1871" s="2">
        <v>3.707333460169703</v>
      </c>
      <c r="B1871" s="2">
        <v>29.052404571977799</v>
      </c>
      <c r="C1871" s="2">
        <v>35.596474363308531</v>
      </c>
      <c r="AN1871" s="3">
        <f t="shared" si="82"/>
        <v>14.290287647058944</v>
      </c>
      <c r="AO1871" s="3">
        <f t="shared" si="83"/>
        <v>31.350215575375969</v>
      </c>
    </row>
    <row r="1872" spans="1:41" x14ac:dyDescent="0.3">
      <c r="A1872" s="2">
        <v>22.877978011642892</v>
      </c>
      <c r="B1872" s="2">
        <v>24.369886598348831</v>
      </c>
      <c r="C1872" s="2">
        <v>22.812297923895631</v>
      </c>
      <c r="AN1872" s="3">
        <f t="shared" si="82"/>
        <v>0.81408807275278305</v>
      </c>
      <c r="AO1872" s="3">
        <f t="shared" si="83"/>
        <v>51.624945182468458</v>
      </c>
    </row>
    <row r="1873" spans="1:41" x14ac:dyDescent="0.3">
      <c r="A1873" s="2">
        <v>6.5700503765590623</v>
      </c>
      <c r="B1873" s="2">
        <v>18.39082633292152</v>
      </c>
      <c r="C1873" s="2">
        <v>22.451417215200369</v>
      </c>
      <c r="AN1873" s="3">
        <f t="shared" si="82"/>
        <v>47.352682730549958</v>
      </c>
      <c r="AO1873" s="3">
        <f t="shared" si="83"/>
        <v>56.941072024777768</v>
      </c>
    </row>
    <row r="1874" spans="1:41" x14ac:dyDescent="0.3">
      <c r="A1874" s="2">
        <v>25.95182798555739</v>
      </c>
      <c r="B1874" s="2">
        <v>22.732099799125251</v>
      </c>
      <c r="C1874" s="2">
        <v>27.79130199141601</v>
      </c>
      <c r="AN1874" s="3">
        <f t="shared" si="82"/>
        <v>6.4518798720929897</v>
      </c>
      <c r="AO1874" s="3">
        <f t="shared" si="83"/>
        <v>4.8666391720152928</v>
      </c>
    </row>
    <row r="1875" spans="1:41" x14ac:dyDescent="0.3">
      <c r="A1875" s="2">
        <v>0.64519674059835697</v>
      </c>
      <c r="B1875" s="2">
        <v>17.315054774555321</v>
      </c>
      <c r="C1875" s="2">
        <v>30.33095586350786</v>
      </c>
      <c r="AN1875" s="3">
        <f t="shared" si="82"/>
        <v>63.315442270435994</v>
      </c>
      <c r="AO1875" s="3">
        <f t="shared" si="83"/>
        <v>0.11129417936997657</v>
      </c>
    </row>
    <row r="1876" spans="1:41" x14ac:dyDescent="0.3">
      <c r="A1876" s="2">
        <v>12.508950291381231</v>
      </c>
      <c r="B1876" s="2">
        <v>24.275532081999991</v>
      </c>
      <c r="C1876" s="2">
        <v>29.456943256935311</v>
      </c>
      <c r="AN1876" s="3">
        <f t="shared" si="82"/>
        <v>0.99325702433490215</v>
      </c>
      <c r="AO1876" s="3">
        <f t="shared" si="83"/>
        <v>0.29203733042692298</v>
      </c>
    </row>
    <row r="1877" spans="1:41" x14ac:dyDescent="0.3">
      <c r="A1877" s="2">
        <v>0.78926590398592578</v>
      </c>
      <c r="B1877" s="2">
        <v>26.828233543601709</v>
      </c>
      <c r="C1877" s="2">
        <v>35.004079322364582</v>
      </c>
      <c r="AN1877" s="3">
        <f t="shared" si="82"/>
        <v>2.4213807716528106</v>
      </c>
      <c r="AO1877" s="3">
        <f t="shared" si="83"/>
        <v>25.06735812576877</v>
      </c>
    </row>
    <row r="1878" spans="1:41" x14ac:dyDescent="0.3">
      <c r="A1878" s="2">
        <v>10.45023273937348</v>
      </c>
      <c r="B1878" s="2">
        <v>32.689057257967278</v>
      </c>
      <c r="C1878" s="2">
        <v>36.086116841636162</v>
      </c>
      <c r="AN1878" s="3">
        <f t="shared" si="82"/>
        <v>55.010440714309141</v>
      </c>
      <c r="AO1878" s="3">
        <f t="shared" si="83"/>
        <v>37.073105510001113</v>
      </c>
    </row>
    <row r="1879" spans="1:41" x14ac:dyDescent="0.3">
      <c r="A1879" s="2">
        <v>21.93543938336073</v>
      </c>
      <c r="B1879" s="2">
        <v>20.255124499383619</v>
      </c>
      <c r="C1879" s="2">
        <v>19.760746255268831</v>
      </c>
      <c r="AN1879" s="3">
        <f t="shared" si="82"/>
        <v>25.170593955012748</v>
      </c>
      <c r="AO1879" s="3">
        <f t="shared" si="83"/>
        <v>104.7880161155983</v>
      </c>
    </row>
    <row r="1880" spans="1:41" x14ac:dyDescent="0.3">
      <c r="A1880" s="2">
        <v>0.75978973091545432</v>
      </c>
      <c r="B1880" s="2">
        <v>27.276851618061499</v>
      </c>
      <c r="C1880" s="2">
        <v>25.245580436396882</v>
      </c>
      <c r="AN1880" s="3">
        <f t="shared" si="82"/>
        <v>4.0188089656488986</v>
      </c>
      <c r="AO1880" s="3">
        <f t="shared" si="83"/>
        <v>22.57929536628205</v>
      </c>
    </row>
    <row r="1881" spans="1:41" x14ac:dyDescent="0.3">
      <c r="A1881" s="2">
        <v>11.684464263701431</v>
      </c>
      <c r="B1881" s="2">
        <v>19.94429996432855</v>
      </c>
      <c r="C1881" s="2">
        <v>23.0943611894456</v>
      </c>
      <c r="AN1881" s="3">
        <f t="shared" si="82"/>
        <v>28.386038124553203</v>
      </c>
      <c r="AO1881" s="3">
        <f t="shared" si="83"/>
        <v>47.651227470011101</v>
      </c>
    </row>
    <row r="1882" spans="1:41" x14ac:dyDescent="0.3">
      <c r="A1882" s="2">
        <v>3.4515486613808841</v>
      </c>
      <c r="B1882" s="2">
        <v>24.641348760846231</v>
      </c>
      <c r="C1882" s="2">
        <v>37.982244861446738</v>
      </c>
      <c r="AN1882" s="3">
        <f t="shared" si="82"/>
        <v>0.3979163744192446</v>
      </c>
      <c r="AO1882" s="3">
        <f t="shared" si="83"/>
        <v>63.75857723632884</v>
      </c>
    </row>
    <row r="1883" spans="1:41" x14ac:dyDescent="0.3">
      <c r="A1883" s="2">
        <v>31.117872860917348</v>
      </c>
      <c r="B1883" s="2">
        <v>32.505479615511092</v>
      </c>
      <c r="C1883" s="2">
        <v>25.31775439696322</v>
      </c>
      <c r="AN1883" s="3">
        <f t="shared" si="82"/>
        <v>52.320986563576497</v>
      </c>
      <c r="AO1883" s="3">
        <f t="shared" si="83"/>
        <v>21.898596671464276</v>
      </c>
    </row>
    <row r="1884" spans="1:41" x14ac:dyDescent="0.3">
      <c r="A1884" s="2">
        <v>31.90827825165459</v>
      </c>
      <c r="B1884" s="2">
        <v>35.639143058457712</v>
      </c>
      <c r="C1884" s="2">
        <v>23.540383128551451</v>
      </c>
      <c r="AN1884" s="3">
        <f t="shared" si="82"/>
        <v>107.47444365468161</v>
      </c>
      <c r="AO1884" s="3">
        <f t="shared" si="83"/>
        <v>41.692395878045737</v>
      </c>
    </row>
    <row r="1885" spans="1:41" x14ac:dyDescent="0.3">
      <c r="A1885" s="2">
        <v>19.49452695008539</v>
      </c>
      <c r="B1885" s="2">
        <v>29.380269152025519</v>
      </c>
      <c r="C1885" s="2">
        <v>33.157967966573707</v>
      </c>
      <c r="AN1885" s="3">
        <f t="shared" si="82"/>
        <v>16.87660277786615</v>
      </c>
      <c r="AO1885" s="3">
        <f t="shared" si="83"/>
        <v>9.9895183151797724</v>
      </c>
    </row>
    <row r="1886" spans="1:41" x14ac:dyDescent="0.3">
      <c r="A1886" s="2">
        <v>5.2383509544885056</v>
      </c>
      <c r="B1886" s="2">
        <v>20.31250715888487</v>
      </c>
      <c r="C1886" s="2">
        <v>33.196834900224879</v>
      </c>
      <c r="AN1886" s="3">
        <f t="shared" si="82"/>
        <v>24.598105631232357</v>
      </c>
      <c r="AO1886" s="3">
        <f t="shared" si="83"/>
        <v>10.236716163614226</v>
      </c>
    </row>
    <row r="1887" spans="1:41" x14ac:dyDescent="0.3">
      <c r="A1887" s="2">
        <v>12.852791489883909</v>
      </c>
      <c r="B1887" s="2">
        <v>25.24401329983856</v>
      </c>
      <c r="C1887" s="2">
        <v>23.70045293776996</v>
      </c>
      <c r="AN1887" s="3">
        <f t="shared" si="82"/>
        <v>7.9194917895798506E-4</v>
      </c>
      <c r="AO1887" s="3">
        <f t="shared" si="83"/>
        <v>39.65088793859961</v>
      </c>
    </row>
    <row r="1888" spans="1:41" x14ac:dyDescent="0.3">
      <c r="A1888" s="2">
        <v>1.172309470345027</v>
      </c>
      <c r="B1888" s="2">
        <v>22.647857875654001</v>
      </c>
      <c r="C1888" s="2">
        <v>31.354369267829561</v>
      </c>
      <c r="AN1888" s="3">
        <f t="shared" si="82"/>
        <v>6.886934827165482</v>
      </c>
      <c r="AO1888" s="3">
        <f t="shared" si="83"/>
        <v>1.8415066106010773</v>
      </c>
    </row>
    <row r="1889" spans="1:41" x14ac:dyDescent="0.3">
      <c r="A1889" s="2">
        <v>10.68961116975966</v>
      </c>
      <c r="B1889" s="2">
        <v>25.716876248571459</v>
      </c>
      <c r="C1889" s="2">
        <v>23.436066224221388</v>
      </c>
      <c r="AN1889" s="3">
        <f t="shared" si="82"/>
        <v>0.19777708547153103</v>
      </c>
      <c r="AO1889" s="3">
        <f t="shared" si="83"/>
        <v>43.050419076602545</v>
      </c>
    </row>
    <row r="1890" spans="1:41" x14ac:dyDescent="0.3">
      <c r="A1890" s="2">
        <v>0.68199122530234579</v>
      </c>
      <c r="B1890" s="2">
        <v>20.58882018598759</v>
      </c>
      <c r="C1890" s="2">
        <v>27.255075393287061</v>
      </c>
      <c r="AN1890" s="3">
        <f t="shared" si="82"/>
        <v>21.933623963477366</v>
      </c>
      <c r="AO1890" s="3">
        <f t="shared" si="83"/>
        <v>7.5200592733132607</v>
      </c>
    </row>
    <row r="1891" spans="1:41" x14ac:dyDescent="0.3">
      <c r="A1891" s="2">
        <v>15.104124665582921</v>
      </c>
      <c r="B1891" s="2">
        <v>18.123104662064868</v>
      </c>
      <c r="C1891" s="2">
        <v>33.894135587110213</v>
      </c>
      <c r="AN1891" s="3">
        <f t="shared" si="82"/>
        <v>51.108919182406986</v>
      </c>
      <c r="AO1891" s="3">
        <f t="shared" si="83"/>
        <v>15.18495318105615</v>
      </c>
    </row>
    <row r="1892" spans="1:41" x14ac:dyDescent="0.3">
      <c r="A1892" s="2">
        <v>13.424724064938809</v>
      </c>
      <c r="B1892" s="2">
        <v>16.433776252146849</v>
      </c>
      <c r="C1892" s="2">
        <v>28.233111840279271</v>
      </c>
      <c r="AN1892" s="3">
        <f t="shared" si="82"/>
        <v>78.116936971857584</v>
      </c>
      <c r="AO1892" s="3">
        <f t="shared" si="83"/>
        <v>3.1125293712378785</v>
      </c>
    </row>
    <row r="1893" spans="1:41" x14ac:dyDescent="0.3">
      <c r="A1893" s="2">
        <v>12.810159718862129</v>
      </c>
      <c r="B1893" s="2">
        <v>32.612656844332022</v>
      </c>
      <c r="C1893" s="2">
        <v>29.197163001645531</v>
      </c>
      <c r="AN1893" s="3">
        <f t="shared" si="82"/>
        <v>53.882968920125776</v>
      </c>
      <c r="AO1893" s="3">
        <f t="shared" si="83"/>
        <v>0.6402960968912017</v>
      </c>
    </row>
    <row r="1894" spans="1:41" x14ac:dyDescent="0.3">
      <c r="A1894" s="2">
        <v>40.981943444267841</v>
      </c>
      <c r="B1894" s="2">
        <v>23.07310829419966</v>
      </c>
      <c r="C1894" s="2">
        <v>30.49726632423339</v>
      </c>
      <c r="AN1894" s="3">
        <f t="shared" si="82"/>
        <v>4.835805936919944</v>
      </c>
      <c r="AO1894" s="3">
        <f t="shared" si="83"/>
        <v>0.2499182901081364</v>
      </c>
    </row>
    <row r="1895" spans="1:41" x14ac:dyDescent="0.3">
      <c r="A1895" s="2">
        <v>9.7874912602875348</v>
      </c>
      <c r="B1895" s="2">
        <v>24.78056889271916</v>
      </c>
      <c r="C1895" s="2">
        <v>34.692051581659179</v>
      </c>
      <c r="AN1895" s="3">
        <f t="shared" si="82"/>
        <v>0.24165679415750693</v>
      </c>
      <c r="AO1895" s="3">
        <f t="shared" si="83"/>
        <v>22.040241336528936</v>
      </c>
    </row>
    <row r="1896" spans="1:41" x14ac:dyDescent="0.3">
      <c r="A1896" s="2">
        <v>12.60912834279247</v>
      </c>
      <c r="B1896" s="2">
        <v>29.724471748775731</v>
      </c>
      <c r="C1896" s="2">
        <v>34.655997012236178</v>
      </c>
      <c r="AN1896" s="3">
        <f t="shared" si="82"/>
        <v>19.823125397942558</v>
      </c>
      <c r="AO1896" s="3">
        <f t="shared" si="83"/>
        <v>21.703010239036786</v>
      </c>
    </row>
    <row r="1897" spans="1:41" x14ac:dyDescent="0.3">
      <c r="A1897" s="2">
        <v>0.1109847501567628</v>
      </c>
      <c r="B1897" s="2">
        <v>24.464858150865791</v>
      </c>
      <c r="C1897" s="2">
        <v>39.107191386358878</v>
      </c>
      <c r="AN1897" s="3">
        <f t="shared" si="82"/>
        <v>0.65172802737317614</v>
      </c>
      <c r="AO1897" s="3">
        <f t="shared" si="83"/>
        <v>82.989245780571409</v>
      </c>
    </row>
    <row r="1898" spans="1:41" x14ac:dyDescent="0.3">
      <c r="A1898" s="2">
        <v>34.589812597267738</v>
      </c>
      <c r="B1898" s="2">
        <v>27.29234192854544</v>
      </c>
      <c r="C1898" s="2">
        <v>36.008064237021102</v>
      </c>
      <c r="AN1898" s="3">
        <f t="shared" si="82"/>
        <v>4.081155664810197</v>
      </c>
      <c r="AO1898" s="3">
        <f t="shared" si="83"/>
        <v>36.128709191480397</v>
      </c>
    </row>
    <row r="1899" spans="1:41" x14ac:dyDescent="0.3">
      <c r="A1899" s="2">
        <v>0.19489389454627681</v>
      </c>
      <c r="B1899" s="2">
        <v>18.79673089330532</v>
      </c>
      <c r="C1899" s="2">
        <v>31.769253543659261</v>
      </c>
      <c r="AN1899" s="3">
        <f t="shared" si="82"/>
        <v>41.931115955870659</v>
      </c>
      <c r="AO1899" s="3">
        <f t="shared" si="83"/>
        <v>3.1396491110528246</v>
      </c>
    </row>
    <row r="1900" spans="1:41" x14ac:dyDescent="0.3">
      <c r="A1900" s="2">
        <v>3.2799260850562861</v>
      </c>
      <c r="B1900" s="2">
        <v>27.67923645311528</v>
      </c>
      <c r="C1900" s="2">
        <v>35.174340543462527</v>
      </c>
      <c r="AN1900" s="3">
        <f t="shared" si="82"/>
        <v>5.7940416444633795</v>
      </c>
      <c r="AO1900" s="3">
        <f t="shared" si="83"/>
        <v>26.801251372594496</v>
      </c>
    </row>
    <row r="1901" spans="1:41" x14ac:dyDescent="0.3">
      <c r="A1901" s="2">
        <v>10.64728548565567</v>
      </c>
      <c r="B1901" s="2">
        <v>20.519595176607911</v>
      </c>
      <c r="C1901" s="2">
        <v>32.179680031985782</v>
      </c>
      <c r="AN1901" s="3">
        <f t="shared" si="82"/>
        <v>22.586823843229915</v>
      </c>
      <c r="AO1901" s="3">
        <f t="shared" si="83"/>
        <v>4.7625729197404558</v>
      </c>
    </row>
    <row r="1902" spans="1:41" x14ac:dyDescent="0.3">
      <c r="A1902" s="2">
        <v>9.3755556611461994</v>
      </c>
      <c r="B1902" s="2">
        <v>28.35395344701351</v>
      </c>
      <c r="C1902" s="2">
        <v>35.80758141013002</v>
      </c>
      <c r="AN1902" s="3">
        <f t="shared" si="82"/>
        <v>9.4974823370149739</v>
      </c>
      <c r="AO1902" s="3">
        <f t="shared" si="83"/>
        <v>33.758811806042935</v>
      </c>
    </row>
    <row r="1903" spans="1:41" x14ac:dyDescent="0.3">
      <c r="A1903" s="2">
        <v>4.9817913799467934</v>
      </c>
      <c r="B1903" s="2">
        <v>27.752702045624421</v>
      </c>
      <c r="C1903" s="2">
        <v>31.393895981311822</v>
      </c>
      <c r="AN1903" s="3">
        <f t="shared" si="82"/>
        <v>6.1531141840358439</v>
      </c>
      <c r="AO1903" s="3">
        <f t="shared" si="83"/>
        <v>1.9503461501398462</v>
      </c>
    </row>
    <row r="1904" spans="1:41" x14ac:dyDescent="0.3">
      <c r="A1904" s="2">
        <v>3.486539361788858</v>
      </c>
      <c r="B1904" s="2">
        <v>19.857558750611211</v>
      </c>
      <c r="C1904" s="2">
        <v>35.321105944880792</v>
      </c>
      <c r="AN1904" s="3">
        <f t="shared" si="82"/>
        <v>29.317851368488839</v>
      </c>
      <c r="AO1904" s="3">
        <f t="shared" si="83"/>
        <v>28.342398221232344</v>
      </c>
    </row>
    <row r="1905" spans="1:41" x14ac:dyDescent="0.3">
      <c r="A1905" s="2">
        <v>16.505028614085791</v>
      </c>
      <c r="B1905" s="2">
        <v>36.307005110158663</v>
      </c>
      <c r="C1905" s="2">
        <v>23.424249369099119</v>
      </c>
      <c r="AN1905" s="3">
        <f t="shared" si="82"/>
        <v>121.76791934912566</v>
      </c>
      <c r="AO1905" s="3">
        <f t="shared" si="83"/>
        <v>43.205626147953375</v>
      </c>
    </row>
    <row r="1906" spans="1:41" x14ac:dyDescent="0.3">
      <c r="A1906" s="2">
        <v>10.18846343020352</v>
      </c>
      <c r="B1906" s="2">
        <v>20.442868873484969</v>
      </c>
      <c r="C1906" s="2">
        <v>21.203897235503529</v>
      </c>
      <c r="AN1906" s="3">
        <f t="shared" si="82"/>
        <v>23.322003443404</v>
      </c>
      <c r="AO1906" s="3">
        <f t="shared" si="83"/>
        <v>77.324777065219294</v>
      </c>
    </row>
    <row r="1907" spans="1:41" x14ac:dyDescent="0.3">
      <c r="A1907" s="2">
        <v>0.78508627578307166</v>
      </c>
      <c r="B1907" s="2">
        <v>28.427234976507091</v>
      </c>
      <c r="C1907" s="2">
        <v>27.699207420288751</v>
      </c>
      <c r="AN1907" s="3">
        <f t="shared" si="82"/>
        <v>9.9545303430641106</v>
      </c>
      <c r="AO1907" s="3">
        <f t="shared" si="83"/>
        <v>5.2814503116569353</v>
      </c>
    </row>
    <row r="1908" spans="1:41" x14ac:dyDescent="0.3">
      <c r="A1908" s="2">
        <v>1.4999173733353459</v>
      </c>
      <c r="B1908" s="2">
        <v>25.868608818661599</v>
      </c>
      <c r="C1908" s="2">
        <v>33.200588693222826</v>
      </c>
      <c r="AN1908" s="3">
        <f t="shared" si="82"/>
        <v>0.3557572872748444</v>
      </c>
      <c r="AO1908" s="3">
        <f t="shared" si="83"/>
        <v>10.260750677315947</v>
      </c>
    </row>
    <row r="1909" spans="1:41" x14ac:dyDescent="0.3">
      <c r="A1909" s="2">
        <v>1.818178734700411</v>
      </c>
      <c r="B1909" s="2">
        <v>28.999490405513061</v>
      </c>
      <c r="C1909" s="2">
        <v>25.415745663512499</v>
      </c>
      <c r="AN1909" s="3">
        <f t="shared" si="82"/>
        <v>13.893030034325159</v>
      </c>
      <c r="AO1909" s="3">
        <f t="shared" si="83"/>
        <v>20.991080343592603</v>
      </c>
    </row>
    <row r="1910" spans="1:41" x14ac:dyDescent="0.3">
      <c r="A1910" s="2">
        <v>30.963548275369821</v>
      </c>
      <c r="B1910" s="2">
        <v>25.045379932089151</v>
      </c>
      <c r="C1910" s="2">
        <v>32.074728905857462</v>
      </c>
      <c r="AN1910" s="3">
        <f t="shared" si="82"/>
        <v>5.1426882197409027E-2</v>
      </c>
      <c r="AO1910" s="3">
        <f t="shared" si="83"/>
        <v>4.315511258495043</v>
      </c>
    </row>
    <row r="1911" spans="1:41" x14ac:dyDescent="0.3">
      <c r="A1911" s="2">
        <v>4.3044892913673252</v>
      </c>
      <c r="B1911" s="2">
        <v>19.875858558463861</v>
      </c>
      <c r="C1911" s="2">
        <v>24.118126940611891</v>
      </c>
      <c r="AN1911" s="3">
        <f t="shared" si="82"/>
        <v>29.120014113501842</v>
      </c>
      <c r="AO1911" s="3">
        <f t="shared" si="83"/>
        <v>34.565240744930612</v>
      </c>
    </row>
    <row r="1912" spans="1:41" x14ac:dyDescent="0.3">
      <c r="A1912" s="2">
        <v>3.546876540776466</v>
      </c>
      <c r="B1912" s="2">
        <v>25.145689923962109</v>
      </c>
      <c r="C1912" s="2">
        <v>35.778545496582389</v>
      </c>
      <c r="AN1912" s="3">
        <f t="shared" si="82"/>
        <v>1.5993388004108076E-2</v>
      </c>
      <c r="AO1912" s="3">
        <f t="shared" si="83"/>
        <v>33.422244022711794</v>
      </c>
    </row>
    <row r="1913" spans="1:41" x14ac:dyDescent="0.3">
      <c r="A1913" s="2">
        <v>10.37112101332171</v>
      </c>
      <c r="B1913" s="2">
        <v>21.515478318760479</v>
      </c>
      <c r="C1913" s="2">
        <v>29.865155971924921</v>
      </c>
      <c r="AN1913" s="3">
        <f t="shared" si="82"/>
        <v>14.112618871865424</v>
      </c>
      <c r="AO1913" s="3">
        <f t="shared" si="83"/>
        <v>1.7474743074227594E-2</v>
      </c>
    </row>
    <row r="1914" spans="1:41" x14ac:dyDescent="0.3">
      <c r="A1914" s="2">
        <v>10.04730521513323</v>
      </c>
      <c r="B1914" s="2">
        <v>26.004208943665819</v>
      </c>
      <c r="C1914" s="2">
        <v>21.392826949697049</v>
      </c>
      <c r="AN1914" s="3">
        <f t="shared" si="82"/>
        <v>0.53590313535173884</v>
      </c>
      <c r="AO1914" s="3">
        <f t="shared" si="83"/>
        <v>74.037783207284576</v>
      </c>
    </row>
    <row r="1915" spans="1:41" x14ac:dyDescent="0.3">
      <c r="A1915" s="2">
        <v>0.18690685311025551</v>
      </c>
      <c r="B1915" s="2">
        <v>21.83914458701588</v>
      </c>
      <c r="C1915" s="2">
        <v>27.788388909781119</v>
      </c>
      <c r="AN1915" s="3">
        <f t="shared" si="82"/>
        <v>11.785559750415857</v>
      </c>
      <c r="AO1915" s="3">
        <f t="shared" si="83"/>
        <v>4.8795004425242867</v>
      </c>
    </row>
    <row r="1916" spans="1:41" x14ac:dyDescent="0.3">
      <c r="A1916" s="2">
        <v>16.68616181307706</v>
      </c>
      <c r="B1916" s="2">
        <v>26.85113170018489</v>
      </c>
      <c r="C1916" s="2">
        <v>32.452190954235462</v>
      </c>
      <c r="AN1916" s="3">
        <f t="shared" si="82"/>
        <v>2.4931677624927167</v>
      </c>
      <c r="AO1916" s="3">
        <f t="shared" si="83"/>
        <v>6.0262537296303078</v>
      </c>
    </row>
    <row r="1917" spans="1:41" x14ac:dyDescent="0.3">
      <c r="A1917" s="2">
        <v>32.004139280230447</v>
      </c>
      <c r="B1917" s="2">
        <v>28.917386708944271</v>
      </c>
      <c r="C1917" s="2">
        <v>24.878590342044209</v>
      </c>
      <c r="AN1917" s="3">
        <f t="shared" si="82"/>
        <v>13.287715003203555</v>
      </c>
      <c r="AO1917" s="3">
        <f t="shared" si="83"/>
        <v>26.201680378600873</v>
      </c>
    </row>
    <row r="1918" spans="1:41" x14ac:dyDescent="0.3">
      <c r="A1918" s="2">
        <v>18.20036168131465</v>
      </c>
      <c r="B1918" s="2">
        <v>26.259647048488151</v>
      </c>
      <c r="C1918" s="2">
        <v>34.604773213235603</v>
      </c>
      <c r="AN1918" s="3">
        <f t="shared" si="82"/>
        <v>0.97514076019316109</v>
      </c>
      <c r="AO1918" s="3">
        <f t="shared" si="83"/>
        <v>21.228366719566971</v>
      </c>
    </row>
    <row r="1919" spans="1:41" x14ac:dyDescent="0.3">
      <c r="A1919" s="2">
        <v>8.4776013297447966E-2</v>
      </c>
      <c r="B1919" s="2">
        <v>23.85754966300691</v>
      </c>
      <c r="C1919" s="2">
        <v>30.515641544045589</v>
      </c>
      <c r="AN1919" s="3">
        <f t="shared" si="82"/>
        <v>2.0011079523653139</v>
      </c>
      <c r="AO1919" s="3">
        <f t="shared" si="83"/>
        <v>0.26862815550363012</v>
      </c>
    </row>
    <row r="1920" spans="1:41" x14ac:dyDescent="0.3">
      <c r="A1920" s="2">
        <v>3.3089025326638022</v>
      </c>
      <c r="B1920" s="2">
        <v>28.067823923329112</v>
      </c>
      <c r="C1920" s="2">
        <v>29.867623940844691</v>
      </c>
      <c r="AN1920" s="3">
        <f t="shared" si="82"/>
        <v>7.8157653357549473</v>
      </c>
      <c r="AO1920" s="3">
        <f t="shared" si="83"/>
        <v>1.6828342109954781E-2</v>
      </c>
    </row>
    <row r="1921" spans="1:41" x14ac:dyDescent="0.3">
      <c r="A1921" s="2">
        <v>10.06064038573316</v>
      </c>
      <c r="B1921" s="2">
        <v>28.371932287738801</v>
      </c>
      <c r="C1921" s="2">
        <v>32.861119648985252</v>
      </c>
      <c r="AN1921" s="3">
        <f t="shared" si="82"/>
        <v>9.608619906484277</v>
      </c>
      <c r="AO1921" s="3">
        <f t="shared" si="83"/>
        <v>8.2011878238316118</v>
      </c>
    </row>
    <row r="1922" spans="1:41" x14ac:dyDescent="0.3">
      <c r="A1922" s="2">
        <v>2.6897984577226528</v>
      </c>
      <c r="B1922" s="2">
        <v>20.598450214311171</v>
      </c>
      <c r="C1922" s="2">
        <v>36.289280756828433</v>
      </c>
      <c r="AN1922" s="3">
        <f t="shared" si="82"/>
        <v>21.84351540919787</v>
      </c>
      <c r="AO1922" s="3">
        <f t="shared" si="83"/>
        <v>39.588417302993044</v>
      </c>
    </row>
    <row r="1923" spans="1:41" x14ac:dyDescent="0.3">
      <c r="A1923" s="2">
        <v>47.524181248172653</v>
      </c>
      <c r="B1923" s="2">
        <v>26.638601922038809</v>
      </c>
      <c r="C1923" s="2">
        <v>28.82733537166764</v>
      </c>
      <c r="AN1923" s="3">
        <f t="shared" ref="AN1923:AN1986" si="84">(B1923-$AK$2)^2</f>
        <v>1.8671774873790978</v>
      </c>
      <c r="AO1923" s="3">
        <f t="shared" ref="AO1923:AO1986" si="85">(C1923-$AK$3)^2</f>
        <v>1.3689296459369009</v>
      </c>
    </row>
    <row r="1924" spans="1:41" x14ac:dyDescent="0.3">
      <c r="A1924" s="2">
        <v>0.6385269011679422</v>
      </c>
      <c r="B1924" s="2">
        <v>24.78633067349875</v>
      </c>
      <c r="C1924" s="2">
        <v>27.300847924148531</v>
      </c>
      <c r="AN1924" s="3">
        <f t="shared" si="84"/>
        <v>0.23602517075714405</v>
      </c>
      <c r="AO1924" s="3">
        <f t="shared" si="85"/>
        <v>7.271112879116763</v>
      </c>
    </row>
    <row r="1925" spans="1:41" x14ac:dyDescent="0.3">
      <c r="A1925" s="2">
        <v>8.2997679569480471</v>
      </c>
      <c r="B1925" s="2">
        <v>30.947856080629471</v>
      </c>
      <c r="C1925" s="2">
        <v>25.07922263361349</v>
      </c>
      <c r="AN1925" s="3">
        <f t="shared" si="84"/>
        <v>32.213583988745782</v>
      </c>
      <c r="AO1925" s="3">
        <f t="shared" si="85"/>
        <v>24.187957520841518</v>
      </c>
    </row>
    <row r="1926" spans="1:41" x14ac:dyDescent="0.3">
      <c r="A1926" s="2">
        <v>48.109422818068808</v>
      </c>
      <c r="B1926" s="2">
        <v>18.727280221460969</v>
      </c>
      <c r="C1926" s="2">
        <v>35.452898825428697</v>
      </c>
      <c r="AN1926" s="3">
        <f t="shared" si="84"/>
        <v>42.83538444598797</v>
      </c>
      <c r="AO1926" s="3">
        <f t="shared" si="85"/>
        <v>29.763034363631682</v>
      </c>
    </row>
    <row r="1927" spans="1:41" x14ac:dyDescent="0.3">
      <c r="A1927" s="2">
        <v>3.677614455307729</v>
      </c>
      <c r="B1927" s="2">
        <v>23.89886087047195</v>
      </c>
      <c r="C1927" s="2">
        <v>35.269681557673159</v>
      </c>
      <c r="AN1927" s="3">
        <f t="shared" si="84"/>
        <v>1.8859364680800679</v>
      </c>
      <c r="AO1927" s="3">
        <f t="shared" si="85"/>
        <v>27.797500713114029</v>
      </c>
    </row>
    <row r="1928" spans="1:41" x14ac:dyDescent="0.3">
      <c r="A1928" s="2">
        <v>18.686734526350541</v>
      </c>
      <c r="B1928" s="2">
        <v>22.11367464690192</v>
      </c>
      <c r="C1928" s="2">
        <v>34.983751272062811</v>
      </c>
      <c r="AN1928" s="3">
        <f t="shared" si="84"/>
        <v>9.9759974552603108</v>
      </c>
      <c r="AO1928" s="3">
        <f t="shared" si="85"/>
        <v>24.864217184719767</v>
      </c>
    </row>
    <row r="1929" spans="1:41" x14ac:dyDescent="0.3">
      <c r="A1929" s="2">
        <v>0.8105943933075459</v>
      </c>
      <c r="B1929" s="2">
        <v>23.07589462864749</v>
      </c>
      <c r="C1929" s="2">
        <v>33.747822901245598</v>
      </c>
      <c r="AN1929" s="3">
        <f t="shared" si="84"/>
        <v>4.8235591420069426</v>
      </c>
      <c r="AO1929" s="3">
        <f t="shared" si="85"/>
        <v>14.066061678813043</v>
      </c>
    </row>
    <row r="1930" spans="1:41" x14ac:dyDescent="0.3">
      <c r="A1930" s="2">
        <v>11.750250803832779</v>
      </c>
      <c r="B1930" s="2">
        <v>24.484793530201021</v>
      </c>
      <c r="C1930" s="2">
        <v>29.910298461114451</v>
      </c>
      <c r="AN1930" s="3">
        <f t="shared" si="84"/>
        <v>0.61993791320275593</v>
      </c>
      <c r="AO1930" s="3">
        <f t="shared" si="85"/>
        <v>7.5776293239272355E-3</v>
      </c>
    </row>
    <row r="1931" spans="1:41" x14ac:dyDescent="0.3">
      <c r="A1931" s="2">
        <v>20.291100787037969</v>
      </c>
      <c r="B1931" s="2">
        <v>21.609172488410639</v>
      </c>
      <c r="C1931" s="2">
        <v>23.80293180643713</v>
      </c>
      <c r="AN1931" s="3">
        <f t="shared" si="84"/>
        <v>13.417440085045376</v>
      </c>
      <c r="AO1931" s="3">
        <f t="shared" si="85"/>
        <v>38.370792484573613</v>
      </c>
    </row>
    <row r="1932" spans="1:41" x14ac:dyDescent="0.3">
      <c r="A1932" s="2">
        <v>20.62265322367065</v>
      </c>
      <c r="B1932" s="2">
        <v>25.826153880183789</v>
      </c>
      <c r="C1932" s="2">
        <v>29.91780117598876</v>
      </c>
      <c r="AN1932" s="3">
        <f t="shared" si="84"/>
        <v>0.30691487950756946</v>
      </c>
      <c r="AO1932" s="3">
        <f t="shared" si="85"/>
        <v>6.3277037017512886E-3</v>
      </c>
    </row>
    <row r="1933" spans="1:41" x14ac:dyDescent="0.3">
      <c r="A1933" s="2">
        <v>25.350578955122899</v>
      </c>
      <c r="B1933" s="2">
        <v>34.319185583881847</v>
      </c>
      <c r="C1933" s="2">
        <v>26.568246585867641</v>
      </c>
      <c r="AN1933" s="3">
        <f t="shared" si="84"/>
        <v>81.848764349632546</v>
      </c>
      <c r="AO1933" s="3">
        <f t="shared" si="85"/>
        <v>11.758736788238778</v>
      </c>
    </row>
    <row r="1934" spans="1:41" x14ac:dyDescent="0.3">
      <c r="A1934" s="2">
        <v>4.5256390462500544</v>
      </c>
      <c r="B1934" s="2">
        <v>20.149841132504569</v>
      </c>
      <c r="C1934" s="2">
        <v>27.14076783256596</v>
      </c>
      <c r="AN1934" s="3">
        <f t="shared" si="84"/>
        <v>26.238098245178669</v>
      </c>
      <c r="AO1934" s="3">
        <f t="shared" si="85"/>
        <v>8.160050486090725</v>
      </c>
    </row>
    <row r="1935" spans="1:41" x14ac:dyDescent="0.3">
      <c r="A1935" s="2">
        <v>6.2446181203213582</v>
      </c>
      <c r="B1935" s="2">
        <v>26.296496621963271</v>
      </c>
      <c r="C1935" s="2">
        <v>32.287603725780777</v>
      </c>
      <c r="AN1935" s="3">
        <f t="shared" si="84"/>
        <v>1.0492759808515257</v>
      </c>
      <c r="AO1935" s="3">
        <f t="shared" si="85"/>
        <v>5.2452711025737058</v>
      </c>
    </row>
    <row r="1936" spans="1:41" x14ac:dyDescent="0.3">
      <c r="A1936" s="2">
        <v>0.16873030519042501</v>
      </c>
      <c r="B1936" s="2">
        <v>24.386988572142432</v>
      </c>
      <c r="C1936" s="2">
        <v>22.215310611439438</v>
      </c>
      <c r="AN1936" s="3">
        <f t="shared" si="84"/>
        <v>0.7835194128532702</v>
      </c>
      <c r="AO1936" s="3">
        <f t="shared" si="85"/>
        <v>60.560106552013117</v>
      </c>
    </row>
    <row r="1937" spans="1:41" x14ac:dyDescent="0.3">
      <c r="A1937" s="2">
        <v>12.979962371077461</v>
      </c>
      <c r="B1937" s="2">
        <v>27.580285709099119</v>
      </c>
      <c r="C1937" s="2">
        <v>26.771652774490988</v>
      </c>
      <c r="AN1937" s="3">
        <f t="shared" si="84"/>
        <v>5.3274678713378814</v>
      </c>
      <c r="AO1937" s="3">
        <f t="shared" si="85"/>
        <v>10.405109951106763</v>
      </c>
    </row>
    <row r="1938" spans="1:41" x14ac:dyDescent="0.3">
      <c r="A1938" s="2">
        <v>26.10871358099249</v>
      </c>
      <c r="B1938" s="2">
        <v>19.768159381728001</v>
      </c>
      <c r="C1938" s="2">
        <v>23.733210351039329</v>
      </c>
      <c r="AN1938" s="3">
        <f t="shared" si="84"/>
        <v>30.293966571144157</v>
      </c>
      <c r="AO1938" s="3">
        <f t="shared" si="85"/>
        <v>39.239420996315879</v>
      </c>
    </row>
    <row r="1939" spans="1:41" x14ac:dyDescent="0.3">
      <c r="A1939" s="2">
        <v>0.81579044135520173</v>
      </c>
      <c r="B1939" s="2">
        <v>25.760714101970741</v>
      </c>
      <c r="C1939" s="2">
        <v>38.976172327277098</v>
      </c>
      <c r="AN1939" s="3">
        <f t="shared" si="84"/>
        <v>0.23869010217539818</v>
      </c>
      <c r="AO1939" s="3">
        <f t="shared" si="85"/>
        <v>80.619285567379762</v>
      </c>
    </row>
    <row r="1940" spans="1:41" x14ac:dyDescent="0.3">
      <c r="A1940" s="2">
        <v>25.54453796124379</v>
      </c>
      <c r="B1940" s="2">
        <v>26.7877653057703</v>
      </c>
      <c r="C1940" s="2">
        <v>26.524399238567788</v>
      </c>
      <c r="AN1940" s="3">
        <f t="shared" si="84"/>
        <v>2.2970749279674503</v>
      </c>
      <c r="AO1940" s="3">
        <f t="shared" si="85"/>
        <v>12.061373382945959</v>
      </c>
    </row>
    <row r="1941" spans="1:41" x14ac:dyDescent="0.3">
      <c r="A1941" s="2">
        <v>17.75798102640028</v>
      </c>
      <c r="B1941" s="2">
        <v>28.037938541797001</v>
      </c>
      <c r="C1941" s="2">
        <v>24.290412799962489</v>
      </c>
      <c r="AN1941" s="3">
        <f t="shared" si="84"/>
        <v>7.6495592004744042</v>
      </c>
      <c r="AO1941" s="3">
        <f t="shared" si="85"/>
        <v>32.569109843145647</v>
      </c>
    </row>
    <row r="1942" spans="1:41" x14ac:dyDescent="0.3">
      <c r="A1942" s="2">
        <v>8.0153775279878516</v>
      </c>
      <c r="B1942" s="2">
        <v>23.704449865610101</v>
      </c>
      <c r="C1942" s="2">
        <v>35.014006503754828</v>
      </c>
      <c r="AN1942" s="3">
        <f t="shared" si="84"/>
        <v>2.4576990480733651</v>
      </c>
      <c r="AO1942" s="3">
        <f t="shared" si="85"/>
        <v>25.166862133907692</v>
      </c>
    </row>
    <row r="1943" spans="1:41" x14ac:dyDescent="0.3">
      <c r="A1943" s="2">
        <v>7.3377819437883396</v>
      </c>
      <c r="B1943" s="2">
        <v>22.593216346997121</v>
      </c>
      <c r="C1943" s="2">
        <v>27.54196298515761</v>
      </c>
      <c r="AN1943" s="3">
        <f t="shared" si="84"/>
        <v>7.1767117250060419</v>
      </c>
      <c r="AO1943" s="3">
        <f t="shared" si="85"/>
        <v>6.0289157714859831</v>
      </c>
    </row>
    <row r="1944" spans="1:41" x14ac:dyDescent="0.3">
      <c r="A1944" s="2">
        <v>9.8454570225756637</v>
      </c>
      <c r="B1944" s="2">
        <v>25.640997420290439</v>
      </c>
      <c r="C1944" s="2">
        <v>37.713390326263337</v>
      </c>
      <c r="AN1944" s="3">
        <f t="shared" si="84"/>
        <v>0.13604481107442559</v>
      </c>
      <c r="AO1944" s="3">
        <f t="shared" si="85"/>
        <v>59.53730855101427</v>
      </c>
    </row>
    <row r="1945" spans="1:41" x14ac:dyDescent="0.3">
      <c r="A1945" s="2">
        <v>9.1771253740365779</v>
      </c>
      <c r="B1945" s="2">
        <v>40.279246805543544</v>
      </c>
      <c r="C1945" s="2">
        <v>36.054235493170779</v>
      </c>
      <c r="AN1945" s="3">
        <f t="shared" si="84"/>
        <v>225.21280771776762</v>
      </c>
      <c r="AO1945" s="3">
        <f t="shared" si="85"/>
        <v>36.685885610652043</v>
      </c>
    </row>
    <row r="1946" spans="1:41" x14ac:dyDescent="0.3">
      <c r="A1946" s="2">
        <v>23.265991667698191</v>
      </c>
      <c r="B1946" s="2">
        <v>21.78470696603376</v>
      </c>
      <c r="C1946" s="2">
        <v>26.126333561935429</v>
      </c>
      <c r="AN1946" s="3">
        <f t="shared" si="84"/>
        <v>12.162293032556081</v>
      </c>
      <c r="AO1946" s="3">
        <f t="shared" si="85"/>
        <v>14.984753095601224</v>
      </c>
    </row>
    <row r="1947" spans="1:41" x14ac:dyDescent="0.3">
      <c r="A1947" s="2">
        <v>1.083509028611167</v>
      </c>
      <c r="B1947" s="2">
        <v>26.868732885566409</v>
      </c>
      <c r="C1947" s="2">
        <v>26.540483092420299</v>
      </c>
      <c r="AN1947" s="3">
        <f t="shared" si="84"/>
        <v>2.5490612912665425</v>
      </c>
      <c r="AO1947" s="3">
        <f t="shared" si="85"/>
        <v>11.949915271355907</v>
      </c>
    </row>
    <row r="1948" spans="1:41" x14ac:dyDescent="0.3">
      <c r="A1948" s="2">
        <v>13.75500733328111</v>
      </c>
      <c r="B1948" s="2">
        <v>20.513434859158881</v>
      </c>
      <c r="C1948" s="2">
        <v>29.49051803479826</v>
      </c>
      <c r="AN1948" s="3">
        <f t="shared" si="84"/>
        <v>22.645416345818905</v>
      </c>
      <c r="AO1948" s="3">
        <f t="shared" si="85"/>
        <v>0.25687665498661416</v>
      </c>
    </row>
    <row r="1949" spans="1:41" x14ac:dyDescent="0.3">
      <c r="A1949" s="2">
        <v>5.5849536399890436</v>
      </c>
      <c r="B1949" s="2">
        <v>18.523069373341031</v>
      </c>
      <c r="C1949" s="2">
        <v>33.233797638172511</v>
      </c>
      <c r="AN1949" s="3">
        <f t="shared" si="84"/>
        <v>45.550155330876024</v>
      </c>
      <c r="AO1949" s="3">
        <f t="shared" si="85"/>
        <v>10.474605996314233</v>
      </c>
    </row>
    <row r="1950" spans="1:41" x14ac:dyDescent="0.3">
      <c r="A1950" s="2">
        <v>4.1665956090663778</v>
      </c>
      <c r="B1950" s="2">
        <v>27.9901037770518</v>
      </c>
      <c r="C1950" s="2">
        <v>33.877215149496607</v>
      </c>
      <c r="AN1950" s="3">
        <f t="shared" si="84"/>
        <v>7.3872461446925977</v>
      </c>
      <c r="AO1950" s="3">
        <f t="shared" si="85"/>
        <v>15.053368781123639</v>
      </c>
    </row>
    <row r="1951" spans="1:41" x14ac:dyDescent="0.3">
      <c r="A1951" s="2">
        <v>1.3678540296026831</v>
      </c>
      <c r="B1951" s="2">
        <v>28.791260346987301</v>
      </c>
      <c r="C1951" s="2">
        <v>36.295889414426561</v>
      </c>
      <c r="AN1951" s="3">
        <f t="shared" si="84"/>
        <v>12.384103207125751</v>
      </c>
      <c r="AO1951" s="3">
        <f t="shared" si="85"/>
        <v>39.67162343524965</v>
      </c>
    </row>
    <row r="1952" spans="1:41" x14ac:dyDescent="0.3">
      <c r="A1952" s="2">
        <v>59.549113736965332</v>
      </c>
      <c r="B1952" s="2">
        <v>22.24857161950187</v>
      </c>
      <c r="C1952" s="2">
        <v>25.11325111299584</v>
      </c>
      <c r="AN1952" s="3">
        <f t="shared" si="84"/>
        <v>9.1420558024618153</v>
      </c>
      <c r="AO1952" s="3">
        <f t="shared" si="85"/>
        <v>23.854402800213887</v>
      </c>
    </row>
    <row r="1953" spans="1:41" x14ac:dyDescent="0.3">
      <c r="A1953" s="2">
        <v>26.806239592870181</v>
      </c>
      <c r="B1953" s="2">
        <v>22.068880106969392</v>
      </c>
      <c r="C1953" s="2">
        <v>26.956074999217879</v>
      </c>
      <c r="AN1953" s="3">
        <f t="shared" si="84"/>
        <v>10.260969344949949</v>
      </c>
      <c r="AO1953" s="3">
        <f t="shared" si="85"/>
        <v>9.2493417134715088</v>
      </c>
    </row>
    <row r="1954" spans="1:41" x14ac:dyDescent="0.3">
      <c r="A1954" s="2">
        <v>1.1237244422721759</v>
      </c>
      <c r="B1954" s="2">
        <v>23.073563760807481</v>
      </c>
      <c r="C1954" s="2">
        <v>27.137288257093179</v>
      </c>
      <c r="AN1954" s="3">
        <f t="shared" si="84"/>
        <v>4.8338029597815844</v>
      </c>
      <c r="AO1954" s="3">
        <f t="shared" si="85"/>
        <v>8.1799419663934199</v>
      </c>
    </row>
    <row r="1955" spans="1:41" x14ac:dyDescent="0.3">
      <c r="A1955" s="2">
        <v>19.111598934889859</v>
      </c>
      <c r="B1955" s="2">
        <v>24.22653308111666</v>
      </c>
      <c r="C1955" s="2">
        <v>30.348889837731491</v>
      </c>
      <c r="AN1955" s="3">
        <f t="shared" si="84"/>
        <v>1.0933249702645722</v>
      </c>
      <c r="AO1955" s="3">
        <f t="shared" si="85"/>
        <v>0.12358163498781691</v>
      </c>
    </row>
    <row r="1956" spans="1:41" x14ac:dyDescent="0.3">
      <c r="A1956" s="2">
        <v>15.243030015651801</v>
      </c>
      <c r="B1956" s="2">
        <v>21.388506258273971</v>
      </c>
      <c r="C1956" s="2">
        <v>30.581436465704371</v>
      </c>
      <c r="AN1956" s="3">
        <f t="shared" si="84"/>
        <v>15.082726706043585</v>
      </c>
      <c r="AO1956" s="3">
        <f t="shared" si="85"/>
        <v>0.3411592881039382</v>
      </c>
    </row>
    <row r="1957" spans="1:41" x14ac:dyDescent="0.3">
      <c r="A1957" s="2">
        <v>16.796578665391749</v>
      </c>
      <c r="B1957" s="2">
        <v>23.419074173555011</v>
      </c>
      <c r="C1957" s="2">
        <v>34.637846805357768</v>
      </c>
      <c r="AN1957" s="3">
        <f t="shared" si="84"/>
        <v>3.4339081470693014</v>
      </c>
      <c r="AO1957" s="3">
        <f t="shared" si="85"/>
        <v>21.534228783835704</v>
      </c>
    </row>
    <row r="1958" spans="1:41" x14ac:dyDescent="0.3">
      <c r="A1958" s="2">
        <v>23.698661445699042</v>
      </c>
      <c r="B1958" s="2">
        <v>31.01711811127646</v>
      </c>
      <c r="C1958" s="2">
        <v>26.671067850234291</v>
      </c>
      <c r="AN1958" s="3">
        <f t="shared" si="84"/>
        <v>33.004602397050014</v>
      </c>
      <c r="AO1958" s="3">
        <f t="shared" si="85"/>
        <v>11.064139906168819</v>
      </c>
    </row>
    <row r="1959" spans="1:41" x14ac:dyDescent="0.3">
      <c r="A1959" s="2">
        <v>8.782898606525201E-2</v>
      </c>
      <c r="B1959" s="2">
        <v>20.36500560105312</v>
      </c>
      <c r="C1959" s="2">
        <v>28.451705847949128</v>
      </c>
      <c r="AN1959" s="3">
        <f t="shared" si="84"/>
        <v>24.080114158335526</v>
      </c>
      <c r="AO1959" s="3">
        <f t="shared" si="85"/>
        <v>2.3890097883296662</v>
      </c>
    </row>
    <row r="1960" spans="1:41" x14ac:dyDescent="0.3">
      <c r="A1960" s="2">
        <v>8.5801379328847016</v>
      </c>
      <c r="B1960" s="2">
        <v>28.267573117672409</v>
      </c>
      <c r="C1960" s="2">
        <v>32.679769437339473</v>
      </c>
      <c r="AN1960" s="3">
        <f t="shared" si="84"/>
        <v>8.9725303499286806</v>
      </c>
      <c r="AO1960" s="3">
        <f t="shared" si="85"/>
        <v>7.195384548597481</v>
      </c>
    </row>
    <row r="1961" spans="1:41" x14ac:dyDescent="0.3">
      <c r="A1961" s="2">
        <v>10.50475104826514</v>
      </c>
      <c r="B1961" s="2">
        <v>31.769250960356882</v>
      </c>
      <c r="C1961" s="2">
        <v>43.122424038748029</v>
      </c>
      <c r="AN1961" s="3">
        <f t="shared" si="84"/>
        <v>42.212257328482217</v>
      </c>
      <c r="AO1961" s="3">
        <f t="shared" si="85"/>
        <v>172.26761995183659</v>
      </c>
    </row>
    <row r="1962" spans="1:41" x14ac:dyDescent="0.3">
      <c r="A1962" s="2">
        <v>7.7915203869469991</v>
      </c>
      <c r="B1962" s="2">
        <v>29.491881103472579</v>
      </c>
      <c r="C1962" s="2">
        <v>35.856441784768393</v>
      </c>
      <c r="AN1962" s="3">
        <f t="shared" si="84"/>
        <v>17.806089304350515</v>
      </c>
      <c r="AO1962" s="3">
        <f t="shared" si="85"/>
        <v>34.328979500576146</v>
      </c>
    </row>
    <row r="1963" spans="1:41" x14ac:dyDescent="0.3">
      <c r="A1963" s="2">
        <v>17.676680444435011</v>
      </c>
      <c r="B1963" s="2">
        <v>23.182164172564072</v>
      </c>
      <c r="C1963" s="2">
        <v>27.477902139085</v>
      </c>
      <c r="AN1963" s="3">
        <f t="shared" si="84"/>
        <v>4.3680612050688978</v>
      </c>
      <c r="AO1963" s="3">
        <f t="shared" si="85"/>
        <v>6.3476076516828783</v>
      </c>
    </row>
    <row r="1964" spans="1:41" x14ac:dyDescent="0.3">
      <c r="A1964" s="2">
        <v>0.80831636931038253</v>
      </c>
      <c r="B1964" s="2">
        <v>26.862136715792911</v>
      </c>
      <c r="C1964" s="2">
        <v>36.074635462884324</v>
      </c>
      <c r="AN1964" s="3">
        <f t="shared" si="84"/>
        <v>2.5280422017107012</v>
      </c>
      <c r="AO1964" s="3">
        <f t="shared" si="85"/>
        <v>36.933422410589664</v>
      </c>
    </row>
    <row r="1965" spans="1:41" x14ac:dyDescent="0.3">
      <c r="A1965" s="2">
        <v>4.6540227634464539</v>
      </c>
      <c r="B1965" s="2">
        <v>25.329391833324959</v>
      </c>
      <c r="C1965" s="2">
        <v>23.485185824408319</v>
      </c>
      <c r="AN1965" s="3">
        <f t="shared" si="84"/>
        <v>3.2760675141134945E-3</v>
      </c>
      <c r="AO1965" s="3">
        <f t="shared" si="85"/>
        <v>42.408256732636552</v>
      </c>
    </row>
    <row r="1966" spans="1:41" x14ac:dyDescent="0.3">
      <c r="A1966" s="2">
        <v>20.08814216384642</v>
      </c>
      <c r="B1966" s="2">
        <v>26.994478966561939</v>
      </c>
      <c r="C1966" s="2">
        <v>21.303383320958449</v>
      </c>
      <c r="AN1966" s="3">
        <f t="shared" si="84"/>
        <v>2.9664002196775803</v>
      </c>
      <c r="AO1966" s="3">
        <f t="shared" si="85"/>
        <v>75.585022549899151</v>
      </c>
    </row>
    <row r="1967" spans="1:41" x14ac:dyDescent="0.3">
      <c r="A1967" s="2">
        <v>1.958113103261786</v>
      </c>
      <c r="B1967" s="2">
        <v>25.414981813365209</v>
      </c>
      <c r="C1967" s="2">
        <v>34.013488476259788</v>
      </c>
      <c r="AN1967" s="3">
        <f t="shared" si="84"/>
        <v>2.0399529621068505E-2</v>
      </c>
      <c r="AO1967" s="3">
        <f t="shared" si="85"/>
        <v>16.129383997312232</v>
      </c>
    </row>
    <row r="1968" spans="1:41" x14ac:dyDescent="0.3">
      <c r="A1968" s="2">
        <v>7.7764852367847137</v>
      </c>
      <c r="B1968" s="2">
        <v>15.424963460818409</v>
      </c>
      <c r="C1968" s="2">
        <v>29.840137125845249</v>
      </c>
      <c r="AN1968" s="3">
        <f t="shared" si="84"/>
        <v>96.967179071690708</v>
      </c>
      <c r="AO1968" s="3">
        <f t="shared" si="85"/>
        <v>2.4715271781806433E-2</v>
      </c>
    </row>
    <row r="1969" spans="1:41" x14ac:dyDescent="0.3">
      <c r="A1969" s="2">
        <v>2.559322530602528</v>
      </c>
      <c r="B1969" s="2">
        <v>24.382265860061018</v>
      </c>
      <c r="C1969" s="2">
        <v>32.67475930370194</v>
      </c>
      <c r="AN1969" s="3">
        <f t="shared" si="84"/>
        <v>0.79190248820327191</v>
      </c>
      <c r="AO1969" s="3">
        <f t="shared" si="85"/>
        <v>7.1685310706988918</v>
      </c>
    </row>
    <row r="1970" spans="1:41" x14ac:dyDescent="0.3">
      <c r="A1970" s="2">
        <v>4.7166574381907713</v>
      </c>
      <c r="B1970" s="2">
        <v>25.44799406651255</v>
      </c>
      <c r="C1970" s="2">
        <v>27.83960618227206</v>
      </c>
      <c r="AN1970" s="3">
        <f t="shared" si="84"/>
        <v>3.0919415483348141E-2</v>
      </c>
      <c r="AO1970" s="3">
        <f t="shared" si="85"/>
        <v>4.655849928055912</v>
      </c>
    </row>
    <row r="1971" spans="1:41" x14ac:dyDescent="0.3">
      <c r="A1971" s="2">
        <v>13.66466176444546</v>
      </c>
      <c r="B1971" s="2">
        <v>25.276799887103898</v>
      </c>
      <c r="C1971" s="2">
        <v>34.791164210905528</v>
      </c>
      <c r="AN1971" s="3">
        <f t="shared" si="84"/>
        <v>2.1575984536772589E-5</v>
      </c>
      <c r="AO1971" s="3">
        <f t="shared" si="85"/>
        <v>22.980673472737895</v>
      </c>
    </row>
    <row r="1972" spans="1:41" x14ac:dyDescent="0.3">
      <c r="A1972" s="2">
        <v>10.812484481582119</v>
      </c>
      <c r="B1972" s="2">
        <v>29.262513293248979</v>
      </c>
      <c r="C1972" s="2">
        <v>34.255505719457091</v>
      </c>
      <c r="AN1972" s="3">
        <f t="shared" si="84"/>
        <v>15.922960174732138</v>
      </c>
      <c r="AO1972" s="3">
        <f t="shared" si="85"/>
        <v>18.131906816282058</v>
      </c>
    </row>
    <row r="1973" spans="1:41" x14ac:dyDescent="0.3">
      <c r="A1973" s="2">
        <v>3.2402619358934559</v>
      </c>
      <c r="B1973" s="2">
        <v>25.05199040990966</v>
      </c>
      <c r="C1973" s="2">
        <v>35.718721332094802</v>
      </c>
      <c r="AN1973" s="3">
        <f t="shared" si="84"/>
        <v>4.8472398936095965E-2</v>
      </c>
      <c r="AO1973" s="3">
        <f t="shared" si="85"/>
        <v>32.734112338308883</v>
      </c>
    </row>
    <row r="1974" spans="1:41" x14ac:dyDescent="0.3">
      <c r="A1974" s="2">
        <v>78.315412077203263</v>
      </c>
      <c r="B1974" s="2">
        <v>23.887395134917021</v>
      </c>
      <c r="C1974" s="2">
        <v>22.25611148507874</v>
      </c>
      <c r="AN1974" s="3">
        <f t="shared" si="84"/>
        <v>1.9175595833394976</v>
      </c>
      <c r="AO1974" s="3">
        <f t="shared" si="85"/>
        <v>59.926743411679297</v>
      </c>
    </row>
    <row r="1975" spans="1:41" x14ac:dyDescent="0.3">
      <c r="A1975" s="2">
        <v>2.1345561439899692</v>
      </c>
      <c r="B1975" s="2">
        <v>19.323587139420489</v>
      </c>
      <c r="C1975" s="2">
        <v>32.29560843551009</v>
      </c>
      <c r="AN1975" s="3">
        <f t="shared" si="84"/>
        <v>35.385458300598074</v>
      </c>
      <c r="AO1975" s="3">
        <f t="shared" si="85"/>
        <v>5.2820008418798716</v>
      </c>
    </row>
    <row r="1976" spans="1:41" x14ac:dyDescent="0.3">
      <c r="A1976" s="2">
        <v>3.319138597883089</v>
      </c>
      <c r="B1976" s="2">
        <v>23.02767584532916</v>
      </c>
      <c r="C1976" s="2">
        <v>33.994913520984412</v>
      </c>
      <c r="AN1976" s="3">
        <f t="shared" si="84"/>
        <v>5.0376861885180197</v>
      </c>
      <c r="AO1976" s="3">
        <f t="shared" si="85"/>
        <v>15.980529768339228</v>
      </c>
    </row>
    <row r="1977" spans="1:41" x14ac:dyDescent="0.3">
      <c r="A1977" s="2">
        <v>0.24365603543589159</v>
      </c>
      <c r="B1977" s="2">
        <v>26.242128715769901</v>
      </c>
      <c r="C1977" s="2">
        <v>36.453023527320219</v>
      </c>
      <c r="AN1977" s="3">
        <f t="shared" si="84"/>
        <v>0.94084921984740633</v>
      </c>
      <c r="AO1977" s="3">
        <f t="shared" si="85"/>
        <v>41.675745987221255</v>
      </c>
    </row>
    <row r="1978" spans="1:41" x14ac:dyDescent="0.3">
      <c r="A1978" s="2">
        <v>16.632885931103768</v>
      </c>
      <c r="B1978" s="2">
        <v>26.303394178393589</v>
      </c>
      <c r="C1978" s="2">
        <v>35.302774815420257</v>
      </c>
      <c r="AN1978" s="3">
        <f t="shared" si="84"/>
        <v>1.0634544669163928</v>
      </c>
      <c r="AO1978" s="3">
        <f t="shared" si="85"/>
        <v>28.147553260827248</v>
      </c>
    </row>
    <row r="1979" spans="1:41" x14ac:dyDescent="0.3">
      <c r="A1979" s="2">
        <v>1.2391082349347411</v>
      </c>
      <c r="B1979" s="2">
        <v>27.190330226480679</v>
      </c>
      <c r="C1979" s="2">
        <v>37.097293522886829</v>
      </c>
      <c r="AN1979" s="3">
        <f t="shared" si="84"/>
        <v>3.679396615883733</v>
      </c>
      <c r="AO1979" s="3">
        <f>(C1979-$AK$3)^2</f>
        <v>50.409225848564688</v>
      </c>
    </row>
    <row r="1980" spans="1:41" x14ac:dyDescent="0.3">
      <c r="A1980" s="2">
        <v>14.74173898573482</v>
      </c>
      <c r="B1980" s="2">
        <v>27.474043829813411</v>
      </c>
      <c r="C1980" s="2">
        <v>25.42884641555175</v>
      </c>
      <c r="AN1980" s="3">
        <f t="shared" si="84"/>
        <v>4.8483148968454515</v>
      </c>
      <c r="AO1980" s="3">
        <f t="shared" si="85"/>
        <v>20.871207099921961</v>
      </c>
    </row>
    <row r="1981" spans="1:41" x14ac:dyDescent="0.3">
      <c r="A1981" s="2">
        <v>20.961235833178069</v>
      </c>
      <c r="B1981" s="2">
        <v>29.118800249928949</v>
      </c>
      <c r="C1981" s="2">
        <v>34.240785864938147</v>
      </c>
      <c r="AN1981" s="3">
        <f t="shared" si="84"/>
        <v>14.796680513834797</v>
      </c>
      <c r="AO1981" s="3">
        <f t="shared" si="85"/>
        <v>18.006764567302088</v>
      </c>
    </row>
    <row r="1982" spans="1:41" x14ac:dyDescent="0.3">
      <c r="A1982" s="2">
        <v>9.9564857098629371</v>
      </c>
      <c r="B1982" s="2">
        <v>29.020807363181671</v>
      </c>
      <c r="C1982" s="2">
        <v>25.826187958762599</v>
      </c>
      <c r="AN1982" s="3">
        <f t="shared" si="84"/>
        <v>14.052395353748977</v>
      </c>
      <c r="AO1982" s="3">
        <f t="shared" si="85"/>
        <v>17.398576430006045</v>
      </c>
    </row>
    <row r="1983" spans="1:41" x14ac:dyDescent="0.3">
      <c r="A1983" s="2">
        <v>3.648539632538756</v>
      </c>
      <c r="B1983" s="2">
        <v>35.478737924315567</v>
      </c>
      <c r="C1983" s="2">
        <v>35.342388951042103</v>
      </c>
      <c r="AN1983" s="3">
        <f t="shared" si="84"/>
        <v>104.17433720658599</v>
      </c>
      <c r="AO1983" s="3">
        <f t="shared" si="85"/>
        <v>28.569462332131252</v>
      </c>
    </row>
    <row r="1984" spans="1:41" x14ac:dyDescent="0.3">
      <c r="A1984" s="2">
        <v>14.070278589015411</v>
      </c>
      <c r="B1984" s="2">
        <v>27.663185885817491</v>
      </c>
      <c r="C1984" s="2">
        <v>39.567151084226637</v>
      </c>
      <c r="AN1984" s="3">
        <f t="shared" si="84"/>
        <v>5.7170292159807135</v>
      </c>
      <c r="AO1984" s="3">
        <f t="shared" si="85"/>
        <v>91.581130289923152</v>
      </c>
    </row>
    <row r="1985" spans="1:41" x14ac:dyDescent="0.3">
      <c r="A1985" s="2">
        <v>2.7152288634080741</v>
      </c>
      <c r="B1985" s="2">
        <v>33.396302783869132</v>
      </c>
      <c r="C1985" s="2">
        <v>30.907946808571548</v>
      </c>
      <c r="AN1985" s="3">
        <f t="shared" si="84"/>
        <v>66.00177897774438</v>
      </c>
      <c r="AO1985" s="3">
        <f t="shared" si="85"/>
        <v>0.82919011586186908</v>
      </c>
    </row>
    <row r="1986" spans="1:41" x14ac:dyDescent="0.3">
      <c r="A1986" s="2">
        <v>8.5451275608735671</v>
      </c>
      <c r="B1986" s="2">
        <v>29.16795802211108</v>
      </c>
      <c r="C1986" s="2">
        <v>26.588672831167031</v>
      </c>
      <c r="AN1986" s="3">
        <f t="shared" si="84"/>
        <v>15.177282032794896</v>
      </c>
      <c r="AO1986" s="3">
        <f t="shared" si="85"/>
        <v>11.619066684785803</v>
      </c>
    </row>
    <row r="1987" spans="1:41" x14ac:dyDescent="0.3">
      <c r="A1987" s="2">
        <v>2.4784809178638638</v>
      </c>
      <c r="B1987" s="2">
        <v>20.232858461160301</v>
      </c>
      <c r="C1987" s="2">
        <v>25.896708810996621</v>
      </c>
      <c r="AN1987" s="3">
        <f t="shared" ref="AN1987:AN2001" si="86">(B1987-$AK$2)^2</f>
        <v>25.394508512425929</v>
      </c>
      <c r="AO1987" s="3">
        <f t="shared" ref="AO1987:AO2001" si="87">(C1987-$AK$3)^2</f>
        <v>16.815242093025834</v>
      </c>
    </row>
    <row r="1988" spans="1:41" x14ac:dyDescent="0.3">
      <c r="A1988" s="2">
        <v>19.982247182408109</v>
      </c>
      <c r="B1988" s="2">
        <v>28.66322974631785</v>
      </c>
      <c r="C1988" s="2">
        <v>30.39890103979193</v>
      </c>
      <c r="AN1988" s="3">
        <f t="shared" si="86"/>
        <v>11.49938867125279</v>
      </c>
      <c r="AO1988" s="3">
        <f t="shared" si="87"/>
        <v>0.16124481099712304</v>
      </c>
    </row>
    <row r="1989" spans="1:41" x14ac:dyDescent="0.3">
      <c r="A1989" s="2">
        <v>6.9167768055701204</v>
      </c>
      <c r="B1989" s="2">
        <v>21.564171782850771</v>
      </c>
      <c r="C1989" s="2">
        <v>29.580749309600499</v>
      </c>
      <c r="AN1989" s="3">
        <f t="shared" si="86"/>
        <v>13.74913873372742</v>
      </c>
      <c r="AO1989" s="3">
        <f t="shared" si="87"/>
        <v>0.17355450283940993</v>
      </c>
    </row>
    <row r="1990" spans="1:41" x14ac:dyDescent="0.3">
      <c r="A1990" s="2">
        <v>1.8052253615342431</v>
      </c>
      <c r="B1990" s="2">
        <v>34.867019417024061</v>
      </c>
      <c r="C1990" s="2">
        <v>25.429946353042538</v>
      </c>
      <c r="AN1990" s="3">
        <f t="shared" si="86"/>
        <v>92.061425263937849</v>
      </c>
      <c r="AO1990" s="3">
        <f t="shared" si="87"/>
        <v>20.861158177355755</v>
      </c>
    </row>
    <row r="1991" spans="1:41" x14ac:dyDescent="0.3">
      <c r="A1991" s="2">
        <v>5.1001288486767873</v>
      </c>
      <c r="B1991" s="2">
        <v>29.054550853844351</v>
      </c>
      <c r="C1991" s="2">
        <v>18.540299422714408</v>
      </c>
      <c r="AN1991" s="3">
        <f t="shared" si="86"/>
        <v>14.306519216265459</v>
      </c>
      <c r="AO1991" s="3">
        <f t="shared" si="87"/>
        <v>131.26396303724229</v>
      </c>
    </row>
    <row r="1992" spans="1:41" x14ac:dyDescent="0.3">
      <c r="A1992" s="2">
        <v>10.979535050574761</v>
      </c>
      <c r="B1992" s="2">
        <v>18.340824775105929</v>
      </c>
      <c r="C1992" s="2">
        <v>28.460387705627671</v>
      </c>
      <c r="AN1992" s="3">
        <f t="shared" si="86"/>
        <v>48.043337181869568</v>
      </c>
      <c r="AO1992" s="3">
        <f t="shared" si="87"/>
        <v>2.3622470719018036</v>
      </c>
    </row>
    <row r="1993" spans="1:41" x14ac:dyDescent="0.3">
      <c r="A1993" s="2">
        <v>1.031135097982075</v>
      </c>
      <c r="B1993" s="2">
        <v>25.36053297884224</v>
      </c>
      <c r="C1993" s="2">
        <v>36.300402469512008</v>
      </c>
      <c r="AN1993" s="3">
        <f t="shared" si="86"/>
        <v>7.8106863294368396E-3</v>
      </c>
      <c r="AO1993" s="3">
        <f t="shared" si="87"/>
        <v>39.728495131270115</v>
      </c>
    </row>
    <row r="1994" spans="1:41" x14ac:dyDescent="0.3">
      <c r="A1994" s="2">
        <v>27.169347842460159</v>
      </c>
      <c r="B1994" s="2">
        <v>24.358352535691669</v>
      </c>
      <c r="C1994" s="2">
        <v>33.036023449894358</v>
      </c>
      <c r="AN1994" s="3">
        <f t="shared" si="86"/>
        <v>0.83503474540678035</v>
      </c>
      <c r="AO1994" s="3">
        <f t="shared" si="87"/>
        <v>9.2335482418174362</v>
      </c>
    </row>
    <row r="1995" spans="1:41" x14ac:dyDescent="0.3">
      <c r="A1995" s="2">
        <v>7.7718321955518741</v>
      </c>
      <c r="B1995" s="2">
        <v>22.435540550992389</v>
      </c>
      <c r="C1995" s="2">
        <v>27.94472210305976</v>
      </c>
      <c r="AN1995" s="3">
        <f t="shared" si="86"/>
        <v>8.0463809165434839</v>
      </c>
      <c r="AO1995" s="3">
        <f t="shared" si="87"/>
        <v>4.2132732402957043</v>
      </c>
    </row>
    <row r="1996" spans="1:41" x14ac:dyDescent="0.3">
      <c r="A1996" s="2">
        <v>0.27837169484400293</v>
      </c>
      <c r="B1996" s="2">
        <v>25.689069205187302</v>
      </c>
      <c r="C1996" s="2">
        <v>33.846462102199773</v>
      </c>
      <c r="AN1996" s="3">
        <f t="shared" si="86"/>
        <v>0.17381754499115018</v>
      </c>
      <c r="AO1996" s="3">
        <f t="shared" si="87"/>
        <v>14.815679057643504</v>
      </c>
    </row>
    <row r="1997" spans="1:41" x14ac:dyDescent="0.3">
      <c r="A1997" s="2">
        <v>0.32345698397493111</v>
      </c>
      <c r="B1997" s="2">
        <v>23.00620821972899</v>
      </c>
      <c r="C1997" s="2">
        <v>36.178408003999117</v>
      </c>
      <c r="AN1997" s="3">
        <f t="shared" si="86"/>
        <v>5.134514319126434</v>
      </c>
      <c r="AO1997" s="3">
        <f t="shared" si="87"/>
        <v>38.205502268627818</v>
      </c>
    </row>
    <row r="1998" spans="1:41" x14ac:dyDescent="0.3">
      <c r="A1998" s="2">
        <v>1.6000925732228919</v>
      </c>
      <c r="B1998" s="2">
        <v>26.10040944879573</v>
      </c>
      <c r="C1998" s="2">
        <v>33.951157355842859</v>
      </c>
      <c r="AN1998" s="3">
        <f t="shared" si="86"/>
        <v>0.68600561174828711</v>
      </c>
      <c r="AO1998" s="3">
        <f t="shared" si="87"/>
        <v>15.632608099697137</v>
      </c>
    </row>
    <row r="1999" spans="1:41" x14ac:dyDescent="0.3">
      <c r="A1999" s="2">
        <v>4.8640605314050456</v>
      </c>
      <c r="B1999" s="2">
        <v>26.231621562538269</v>
      </c>
      <c r="C1999" s="2">
        <v>32.036287385890653</v>
      </c>
      <c r="AN1999" s="3">
        <f t="shared" si="86"/>
        <v>0.92057629291103504</v>
      </c>
      <c r="AO1999" s="3">
        <f t="shared" si="87"/>
        <v>4.1572736529470715</v>
      </c>
    </row>
    <row r="2000" spans="1:41" x14ac:dyDescent="0.3">
      <c r="A2000" s="2">
        <v>4.2274147576241177</v>
      </c>
      <c r="B2000" s="2">
        <v>21.15441064141347</v>
      </c>
      <c r="C2000" s="2">
        <v>38.186541137471423</v>
      </c>
      <c r="AN2000" s="3">
        <f t="shared" si="86"/>
        <v>16.955817708786881</v>
      </c>
      <c r="AO2000" s="3">
        <f t="shared" si="87"/>
        <v>67.062883574524179</v>
      </c>
    </row>
    <row r="2001" spans="1:41" x14ac:dyDescent="0.3">
      <c r="A2001" s="2">
        <v>3.394101570368329</v>
      </c>
      <c r="B2001" s="2">
        <v>23.463544082372159</v>
      </c>
      <c r="C2001" s="2">
        <v>25.345253605016769</v>
      </c>
      <c r="AN2001" s="3">
        <f t="shared" si="86"/>
        <v>3.2710730587474504</v>
      </c>
      <c r="AO2001" s="3">
        <f t="shared" si="87"/>
        <v>21.641982639471831</v>
      </c>
    </row>
  </sheetData>
  <mergeCells count="56">
    <mergeCell ref="J4:R4"/>
    <mergeCell ref="X4:AF4"/>
    <mergeCell ref="J31:R31"/>
    <mergeCell ref="J32:K32"/>
    <mergeCell ref="L32:N32"/>
    <mergeCell ref="X31:AF31"/>
    <mergeCell ref="X32:Y32"/>
    <mergeCell ref="Z32:AB32"/>
    <mergeCell ref="Q58:R58"/>
    <mergeCell ref="X55:AF55"/>
    <mergeCell ref="AE56:AF56"/>
    <mergeCell ref="AE57:AF57"/>
    <mergeCell ref="AE58:AF58"/>
    <mergeCell ref="X33:Y33"/>
    <mergeCell ref="Z33:AB33"/>
    <mergeCell ref="J55:R55"/>
    <mergeCell ref="Q56:R56"/>
    <mergeCell ref="Q57:R57"/>
    <mergeCell ref="J33:K33"/>
    <mergeCell ref="L33:N33"/>
    <mergeCell ref="Q59:R59"/>
    <mergeCell ref="Q60:R60"/>
    <mergeCell ref="Q61:R61"/>
    <mergeCell ref="Q62:R62"/>
    <mergeCell ref="Q63:R63"/>
    <mergeCell ref="Q75:R75"/>
    <mergeCell ref="Q76:R76"/>
    <mergeCell ref="Q65:R65"/>
    <mergeCell ref="Q66:R66"/>
    <mergeCell ref="Q67:R67"/>
    <mergeCell ref="Q68:R68"/>
    <mergeCell ref="Q69:R69"/>
    <mergeCell ref="Q70:R70"/>
    <mergeCell ref="AE64:AF64"/>
    <mergeCell ref="Q71:R71"/>
    <mergeCell ref="Q72:R72"/>
    <mergeCell ref="Q73:R73"/>
    <mergeCell ref="Q74:R74"/>
    <mergeCell ref="Q64:R64"/>
    <mergeCell ref="AE59:AF59"/>
    <mergeCell ref="AE60:AF60"/>
    <mergeCell ref="AE61:AF61"/>
    <mergeCell ref="AE62:AF62"/>
    <mergeCell ref="AE63:AF63"/>
    <mergeCell ref="AE76:AF76"/>
    <mergeCell ref="AE65:AF65"/>
    <mergeCell ref="AE66:AF66"/>
    <mergeCell ref="AE67:AF67"/>
    <mergeCell ref="AE68:AF68"/>
    <mergeCell ref="AE69:AF69"/>
    <mergeCell ref="AE70:AF70"/>
    <mergeCell ref="AE71:AF71"/>
    <mergeCell ref="AE72:AF72"/>
    <mergeCell ref="AE73:AF73"/>
    <mergeCell ref="AE74:AF74"/>
    <mergeCell ref="AE75:AF75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Jeka</cp:lastModifiedBy>
  <dcterms:created xsi:type="dcterms:W3CDTF">2024-12-14T19:36:39Z</dcterms:created>
  <dcterms:modified xsi:type="dcterms:W3CDTF">2024-12-18T22:53:01Z</dcterms:modified>
</cp:coreProperties>
</file>